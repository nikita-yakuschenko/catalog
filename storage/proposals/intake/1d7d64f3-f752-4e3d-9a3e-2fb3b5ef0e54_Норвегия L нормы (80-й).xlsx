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25\проектно-сметный отдел\Сметный\Дома с производства\Нормы\80. Восьмидесятый дом с производства Норвегия L\"/>
    </mc:Choice>
  </mc:AlternateContent>
  <xr:revisionPtr revIDLastSave="0" documentId="13_ncr:1_{F6538F8A-0EA4-4867-9A19-7D40E1733F18}" xr6:coauthVersionLast="45" xr6:coauthVersionMax="45" xr10:uidLastSave="{00000000-0000-0000-0000-000000000000}"/>
  <bookViews>
    <workbookView xWindow="28680" yWindow="-120" windowWidth="29040" windowHeight="15840" firstSheet="1" activeTab="2" xr2:uid="{00000000-000D-0000-FFFF-FFFF00000000}"/>
  </bookViews>
  <sheets>
    <sheet name="Прайс" sheetId="7" r:id="rId1"/>
    <sheet name="Просчет" sheetId="5" r:id="rId2"/>
    <sheet name="Накладная" sheetId="14" r:id="rId3"/>
    <sheet name="Мини-смета для клиента" sheetId="24" r:id="rId4"/>
    <sheet name="Маленькая смета для клиента" sheetId="23" r:id="rId5"/>
    <sheet name="Смета в налоговую" sheetId="20" r:id="rId6"/>
    <sheet name="Смета для клиента" sheetId="22" r:id="rId7"/>
  </sheets>
  <definedNames>
    <definedName name="_xlnm._FilterDatabase" localSheetId="4" hidden="1">'Маленькая смета для клиента'!$A$3:$H$141</definedName>
    <definedName name="_xlnm._FilterDatabase" localSheetId="3" hidden="1">'Мини-смета для клиента'!$A$4:$F$127</definedName>
    <definedName name="_xlnm._FilterDatabase" localSheetId="2" hidden="1">Накладная!$A$11:$C$330</definedName>
    <definedName name="_xlnm._FilterDatabase" localSheetId="1" hidden="1">Просчет!$A$4:$D$286</definedName>
    <definedName name="_xlnm._FilterDatabase" localSheetId="5" hidden="1">'Смета в налоговую'!$A$16:$H$226</definedName>
    <definedName name="_xlnm._FilterDatabase" localSheetId="6" hidden="1">'Смета для клиента'!$A$3:$H$213</definedName>
    <definedName name="В11">Накладная!$A$12</definedName>
    <definedName name="В22">Накладная!$A$62</definedName>
    <definedName name="Значение" localSheetId="2">#REF!</definedName>
    <definedName name="Значение" localSheetId="0">#REF!</definedName>
    <definedName name="Значение">#REF!</definedName>
    <definedName name="Обвязочныйбрус" localSheetId="2">#REF!</definedName>
    <definedName name="Обвязочныйбрус" localSheetId="0">#REF!</definedName>
    <definedName name="Обвязочныйбрус">#REF!</definedName>
  </definedNames>
  <calcPr calcId="191029"/>
  <customWorkbookViews>
    <customWorkbookView name="123 - Личное представление" guid="{09E17AED-6257-4B0F-B569-6ACE6805A4B4}" mergeInterval="0" personalView="1" maximized="1" xWindow="-8" yWindow="-8" windowWidth="1616" windowHeight="876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09" i="5" l="1"/>
  <c r="B309" i="5"/>
  <c r="C308" i="5"/>
  <c r="B308" i="5"/>
  <c r="C307" i="5"/>
  <c r="C305" i="5" l="1"/>
  <c r="B305" i="5"/>
  <c r="B179" i="5" l="1"/>
  <c r="A101" i="14" l="1"/>
  <c r="B101" i="14"/>
  <c r="C101" i="14"/>
  <c r="A102" i="14"/>
  <c r="B102" i="14"/>
  <c r="C102" i="14"/>
  <c r="A103" i="14"/>
  <c r="B103" i="14"/>
  <c r="C103" i="14"/>
  <c r="A104" i="14"/>
  <c r="B104" i="14"/>
  <c r="C104" i="14"/>
  <c r="A105" i="14"/>
  <c r="B105" i="14"/>
  <c r="C105" i="14"/>
  <c r="A58" i="14"/>
  <c r="B58" i="14"/>
  <c r="C58" i="14"/>
  <c r="A59" i="14"/>
  <c r="B59" i="14"/>
  <c r="C59" i="14"/>
  <c r="A60" i="14"/>
  <c r="B60" i="14"/>
  <c r="C60" i="14"/>
  <c r="E96" i="5"/>
  <c r="G96" i="5" s="1"/>
  <c r="E97" i="5"/>
  <c r="G97" i="5" s="1"/>
  <c r="E98" i="5"/>
  <c r="G98" i="5" s="1"/>
  <c r="E94" i="5"/>
  <c r="G94" i="5" s="1"/>
  <c r="E52" i="5"/>
  <c r="G52" i="5" s="1"/>
  <c r="E53" i="5"/>
  <c r="G53" i="5" s="1"/>
  <c r="E51" i="5"/>
  <c r="G51" i="5" s="1"/>
  <c r="E54" i="5"/>
  <c r="G54" i="5" s="1"/>
  <c r="A202" i="14" l="1"/>
  <c r="B202" i="14"/>
  <c r="C202" i="14"/>
  <c r="A203" i="14"/>
  <c r="B203" i="14"/>
  <c r="C203" i="14"/>
  <c r="J333" i="5" l="1"/>
  <c r="K333" i="5" s="1"/>
  <c r="K332" i="5"/>
  <c r="J331" i="5"/>
  <c r="K331" i="5" s="1"/>
  <c r="K338" i="5"/>
  <c r="K337" i="5"/>
  <c r="K336" i="5"/>
  <c r="K335" i="5"/>
  <c r="K334" i="5"/>
  <c r="A246" i="14"/>
  <c r="B246" i="14"/>
  <c r="C246" i="14"/>
  <c r="G239" i="5"/>
  <c r="B190" i="5" l="1"/>
  <c r="B191" i="5" l="1"/>
  <c r="B187" i="5"/>
  <c r="B30" i="5" l="1"/>
  <c r="B29" i="5"/>
  <c r="B180" i="5" s="1"/>
  <c r="B28" i="5"/>
  <c r="C216" i="14" l="1"/>
  <c r="C217" i="14"/>
  <c r="B216" i="14"/>
  <c r="B217" i="14"/>
  <c r="A216" i="14"/>
  <c r="J310" i="14"/>
  <c r="J311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09" i="14"/>
  <c r="J308" i="14"/>
  <c r="J307" i="14"/>
  <c r="G209" i="5"/>
  <c r="B182" i="5" l="1"/>
  <c r="I309" i="14" l="1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08" i="14"/>
  <c r="I308" i="14"/>
  <c r="H307" i="14"/>
  <c r="I307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C25" i="14" l="1"/>
  <c r="A25" i="14"/>
  <c r="B301" i="5" l="1"/>
  <c r="C304" i="5" l="1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03" i="5"/>
  <c r="B310" i="5" l="1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N35" i="24" l="1"/>
  <c r="M35" i="24"/>
  <c r="O35" i="24" s="1"/>
  <c r="M33" i="24"/>
  <c r="M17" i="24"/>
  <c r="L19" i="24"/>
  <c r="L21" i="24"/>
  <c r="L23" i="24"/>
  <c r="L25" i="24"/>
  <c r="L27" i="24"/>
  <c r="L29" i="24"/>
  <c r="L31" i="24"/>
  <c r="L33" i="24"/>
  <c r="L35" i="24"/>
  <c r="L17" i="24"/>
  <c r="M10" i="24"/>
  <c r="M9" i="24"/>
  <c r="N5" i="24"/>
  <c r="O33" i="24" l="1"/>
  <c r="F33" i="24"/>
  <c r="N33" i="24" s="1"/>
  <c r="C35" i="24" l="1"/>
  <c r="K35" i="24" s="1"/>
  <c r="C33" i="24"/>
  <c r="K33" i="24" s="1"/>
  <c r="C17" i="24"/>
  <c r="K17" i="24" s="1"/>
  <c r="F4" i="24"/>
  <c r="N4" i="24" s="1"/>
  <c r="G35" i="24"/>
  <c r="G33" i="24"/>
  <c r="F17" i="24"/>
  <c r="G17" i="24" l="1"/>
  <c r="N17" i="24"/>
  <c r="O17" i="24" s="1"/>
  <c r="D84" i="23"/>
  <c r="E84" i="23"/>
  <c r="D83" i="23"/>
  <c r="E83" i="23"/>
  <c r="D82" i="23"/>
  <c r="E82" i="23"/>
  <c r="D81" i="23"/>
  <c r="E81" i="23"/>
  <c r="D80" i="23"/>
  <c r="E80" i="23"/>
  <c r="E77" i="23"/>
  <c r="E78" i="23"/>
  <c r="E79" i="23"/>
  <c r="D77" i="23"/>
  <c r="D78" i="23"/>
  <c r="D79" i="23"/>
  <c r="D76" i="23"/>
  <c r="E76" i="23"/>
  <c r="D75" i="23"/>
  <c r="E75" i="23"/>
  <c r="D74" i="23"/>
  <c r="E74" i="23"/>
  <c r="D73" i="23"/>
  <c r="E73" i="23"/>
  <c r="D72" i="23"/>
  <c r="E72" i="23"/>
  <c r="D71" i="23" l="1"/>
  <c r="E71" i="23"/>
  <c r="D70" i="23"/>
  <c r="E70" i="23"/>
  <c r="D69" i="23"/>
  <c r="E69" i="23"/>
  <c r="D68" i="23"/>
  <c r="E68" i="23"/>
  <c r="D67" i="23"/>
  <c r="E67" i="23"/>
  <c r="D66" i="23"/>
  <c r="E66" i="23"/>
  <c r="D65" i="23"/>
  <c r="E65" i="23"/>
  <c r="D64" i="23"/>
  <c r="E64" i="23"/>
  <c r="D63" i="23"/>
  <c r="E63" i="23"/>
  <c r="D62" i="23"/>
  <c r="E62" i="23"/>
  <c r="D61" i="23"/>
  <c r="E61" i="23"/>
  <c r="D60" i="23"/>
  <c r="E60" i="23"/>
  <c r="D59" i="23"/>
  <c r="E59" i="23"/>
  <c r="D58" i="23"/>
  <c r="E58" i="23"/>
  <c r="D57" i="23"/>
  <c r="E57" i="23"/>
  <c r="D56" i="23"/>
  <c r="E56" i="23"/>
  <c r="D55" i="23"/>
  <c r="E55" i="23"/>
  <c r="D54" i="23"/>
  <c r="E54" i="23"/>
  <c r="D53" i="23"/>
  <c r="E53" i="23"/>
  <c r="E52" i="23"/>
  <c r="D52" i="23"/>
  <c r="B78" i="23"/>
  <c r="B79" i="23"/>
  <c r="B77" i="23"/>
  <c r="G76" i="23" l="1"/>
  <c r="H76" i="23" s="1"/>
  <c r="G77" i="23"/>
  <c r="H77" i="23" s="1"/>
  <c r="G78" i="23"/>
  <c r="H78" i="23" s="1"/>
  <c r="G79" i="23"/>
  <c r="H79" i="23" s="1"/>
  <c r="G80" i="23"/>
  <c r="H80" i="23" s="1"/>
  <c r="G81" i="23"/>
  <c r="H81" i="23" s="1"/>
  <c r="G82" i="23"/>
  <c r="H82" i="23" s="1"/>
  <c r="G83" i="23"/>
  <c r="C71" i="23"/>
  <c r="C72" i="23"/>
  <c r="C73" i="23"/>
  <c r="C74" i="23"/>
  <c r="C75" i="23"/>
  <c r="C76" i="23"/>
  <c r="C80" i="23"/>
  <c r="C70" i="23"/>
  <c r="C69" i="23"/>
  <c r="C68" i="23"/>
  <c r="C67" i="23"/>
  <c r="C61" i="23"/>
  <c r="C62" i="23"/>
  <c r="C63" i="23"/>
  <c r="C64" i="23"/>
  <c r="C65" i="23"/>
  <c r="C66" i="23"/>
  <c r="C53" i="23"/>
  <c r="C54" i="23"/>
  <c r="C55" i="23"/>
  <c r="C56" i="23"/>
  <c r="C57" i="23"/>
  <c r="C58" i="23"/>
  <c r="C59" i="23"/>
  <c r="C60" i="23"/>
  <c r="C52" i="23"/>
  <c r="D15" i="23"/>
  <c r="G12" i="23"/>
  <c r="G11" i="23"/>
  <c r="E106" i="5"/>
  <c r="G106" i="5" s="1"/>
  <c r="E105" i="5"/>
  <c r="E104" i="5"/>
  <c r="G104" i="5" s="1"/>
  <c r="E103" i="5"/>
  <c r="G103" i="5" s="1"/>
  <c r="E102" i="5"/>
  <c r="G102" i="5" s="1"/>
  <c r="E101" i="5"/>
  <c r="E99" i="5"/>
  <c r="G99" i="5" s="1"/>
  <c r="E95" i="5"/>
  <c r="G95" i="5" s="1"/>
  <c r="E93" i="5"/>
  <c r="G93" i="5" s="1"/>
  <c r="E92" i="5"/>
  <c r="G92" i="5" s="1"/>
  <c r="E91" i="5"/>
  <c r="G91" i="5" s="1"/>
  <c r="E90" i="5"/>
  <c r="G90" i="5" s="1"/>
  <c r="E88" i="5"/>
  <c r="G88" i="5" s="1"/>
  <c r="E87" i="5"/>
  <c r="G87" i="5" s="1"/>
  <c r="E86" i="5"/>
  <c r="G86" i="5" s="1"/>
  <c r="E85" i="5"/>
  <c r="G85" i="5" s="1"/>
  <c r="E84" i="5"/>
  <c r="G84" i="5" s="1"/>
  <c r="E83" i="5"/>
  <c r="G83" i="5" s="1"/>
  <c r="E82" i="5"/>
  <c r="G82" i="5" s="1"/>
  <c r="E81" i="5"/>
  <c r="G81" i="5" s="1"/>
  <c r="E80" i="5"/>
  <c r="G80" i="5" s="1"/>
  <c r="E79" i="5"/>
  <c r="G79" i="5" s="1"/>
  <c r="E78" i="5"/>
  <c r="G78" i="5" s="1"/>
  <c r="E77" i="5"/>
  <c r="G77" i="5" s="1"/>
  <c r="E76" i="5"/>
  <c r="G76" i="5" s="1"/>
  <c r="E75" i="5"/>
  <c r="G75" i="5" s="1"/>
  <c r="E74" i="5"/>
  <c r="G74" i="5" s="1"/>
  <c r="E73" i="5"/>
  <c r="G73" i="5" s="1"/>
  <c r="E71" i="5"/>
  <c r="G71" i="5" s="1"/>
  <c r="E70" i="5"/>
  <c r="G70" i="5" s="1"/>
  <c r="E69" i="5"/>
  <c r="G69" i="5" s="1"/>
  <c r="E68" i="5"/>
  <c r="G68" i="5" s="1"/>
  <c r="E67" i="5"/>
  <c r="G67" i="5" s="1"/>
  <c r="E66" i="5"/>
  <c r="G66" i="5" s="1"/>
  <c r="E65" i="5"/>
  <c r="G65" i="5" s="1"/>
  <c r="E64" i="5"/>
  <c r="G64" i="5" s="1"/>
  <c r="E63" i="5"/>
  <c r="G63" i="5" s="1"/>
  <c r="E62" i="5"/>
  <c r="G62" i="5" s="1"/>
  <c r="E61" i="5"/>
  <c r="G61" i="5" s="1"/>
  <c r="E60" i="5"/>
  <c r="G60" i="5" s="1"/>
  <c r="E59" i="5"/>
  <c r="G59" i="5" s="1"/>
  <c r="E58" i="5"/>
  <c r="G58" i="5" s="1"/>
  <c r="E57" i="5"/>
  <c r="G57" i="5" s="1"/>
  <c r="E56" i="5"/>
  <c r="E50" i="5"/>
  <c r="E49" i="5"/>
  <c r="G49" i="5" s="1"/>
  <c r="E48" i="5"/>
  <c r="G48" i="5" s="1"/>
  <c r="E47" i="5"/>
  <c r="G47" i="5" s="1"/>
  <c r="E46" i="5"/>
  <c r="G46" i="5" s="1"/>
  <c r="E45" i="5"/>
  <c r="G45" i="5" s="1"/>
  <c r="E44" i="5"/>
  <c r="G44" i="5" s="1"/>
  <c r="E43" i="5"/>
  <c r="G43" i="5" s="1"/>
  <c r="E42" i="5"/>
  <c r="G42" i="5" s="1"/>
  <c r="E41" i="5"/>
  <c r="G41" i="5" s="1"/>
  <c r="E40" i="5"/>
  <c r="G40" i="5" s="1"/>
  <c r="E39" i="5"/>
  <c r="G39" i="5" s="1"/>
  <c r="E38" i="5"/>
  <c r="G38" i="5" s="1"/>
  <c r="E37" i="5"/>
  <c r="G37" i="5" s="1"/>
  <c r="E36" i="5"/>
  <c r="G36" i="5" s="1"/>
  <c r="E35" i="5"/>
  <c r="G35" i="5" s="1"/>
  <c r="E34" i="5"/>
  <c r="G34" i="5" s="1"/>
  <c r="E33" i="5"/>
  <c r="G33" i="5" s="1"/>
  <c r="E32" i="5"/>
  <c r="G32" i="5" s="1"/>
  <c r="H140" i="23"/>
  <c r="H138" i="23"/>
  <c r="H137" i="23"/>
  <c r="H136" i="23"/>
  <c r="H135" i="23"/>
  <c r="G133" i="23"/>
  <c r="E133" i="23"/>
  <c r="D133" i="23"/>
  <c r="C133" i="23"/>
  <c r="G132" i="23"/>
  <c r="E132" i="23"/>
  <c r="D132" i="23"/>
  <c r="C132" i="23"/>
  <c r="G131" i="23"/>
  <c r="E131" i="23"/>
  <c r="D131" i="23"/>
  <c r="C131" i="23"/>
  <c r="G130" i="23"/>
  <c r="E130" i="23"/>
  <c r="D130" i="23"/>
  <c r="C130" i="23"/>
  <c r="G129" i="23"/>
  <c r="E129" i="23"/>
  <c r="D129" i="23"/>
  <c r="C129" i="23"/>
  <c r="G128" i="23"/>
  <c r="E128" i="23"/>
  <c r="D128" i="23"/>
  <c r="C128" i="23"/>
  <c r="G127" i="23"/>
  <c r="E127" i="23"/>
  <c r="D127" i="23"/>
  <c r="C127" i="23"/>
  <c r="G126" i="23"/>
  <c r="E126" i="23"/>
  <c r="D126" i="23"/>
  <c r="C126" i="23"/>
  <c r="G125" i="23"/>
  <c r="E125" i="23"/>
  <c r="D125" i="23"/>
  <c r="C125" i="23"/>
  <c r="G123" i="23"/>
  <c r="D123" i="23"/>
  <c r="G121" i="23"/>
  <c r="D121" i="23"/>
  <c r="B121" i="23"/>
  <c r="G120" i="23"/>
  <c r="H120" i="23" s="1"/>
  <c r="G119" i="23"/>
  <c r="D119" i="23"/>
  <c r="C119" i="23"/>
  <c r="G118" i="23"/>
  <c r="D118" i="23"/>
  <c r="C118" i="23"/>
  <c r="G117" i="23"/>
  <c r="D117" i="23"/>
  <c r="C117" i="23"/>
  <c r="G116" i="23"/>
  <c r="D116" i="23"/>
  <c r="C116" i="23"/>
  <c r="G115" i="23"/>
  <c r="D115" i="23"/>
  <c r="C115" i="23"/>
  <c r="G114" i="23"/>
  <c r="D114" i="23"/>
  <c r="C114" i="23"/>
  <c r="G113" i="23"/>
  <c r="D113" i="23"/>
  <c r="C113" i="23"/>
  <c r="G112" i="23"/>
  <c r="E112" i="23"/>
  <c r="D112" i="23"/>
  <c r="C112" i="23"/>
  <c r="D110" i="23"/>
  <c r="C110" i="23"/>
  <c r="G106" i="23"/>
  <c r="D106" i="23"/>
  <c r="G104" i="23"/>
  <c r="H104" i="23" s="1"/>
  <c r="G103" i="23"/>
  <c r="E103" i="23"/>
  <c r="D103" i="23"/>
  <c r="C103" i="23"/>
  <c r="G102" i="23"/>
  <c r="E102" i="23"/>
  <c r="D102" i="23"/>
  <c r="C102" i="23"/>
  <c r="G101" i="23"/>
  <c r="E101" i="23"/>
  <c r="D101" i="23"/>
  <c r="C101" i="23"/>
  <c r="G100" i="23"/>
  <c r="E100" i="23"/>
  <c r="D100" i="23"/>
  <c r="C100" i="23"/>
  <c r="G99" i="23"/>
  <c r="E99" i="23"/>
  <c r="D99" i="23"/>
  <c r="C99" i="23"/>
  <c r="G98" i="23"/>
  <c r="E98" i="23"/>
  <c r="D98" i="23"/>
  <c r="C98" i="23"/>
  <c r="G97" i="23"/>
  <c r="H97" i="23" s="1"/>
  <c r="G96" i="23"/>
  <c r="E96" i="23"/>
  <c r="D96" i="23"/>
  <c r="C96" i="23"/>
  <c r="G95" i="23"/>
  <c r="E95" i="23"/>
  <c r="D95" i="23"/>
  <c r="C95" i="23"/>
  <c r="G94" i="23"/>
  <c r="E94" i="23"/>
  <c r="D94" i="23"/>
  <c r="C94" i="23"/>
  <c r="G93" i="23"/>
  <c r="E93" i="23"/>
  <c r="D93" i="23"/>
  <c r="C93" i="23"/>
  <c r="G92" i="23"/>
  <c r="E92" i="23"/>
  <c r="D92" i="23"/>
  <c r="C92" i="23"/>
  <c r="G91" i="23"/>
  <c r="E91" i="23"/>
  <c r="D91" i="23"/>
  <c r="C91" i="23"/>
  <c r="G90" i="23"/>
  <c r="E90" i="23"/>
  <c r="D90" i="23"/>
  <c r="C90" i="23"/>
  <c r="G89" i="23"/>
  <c r="E89" i="23"/>
  <c r="D89" i="23"/>
  <c r="C89" i="23"/>
  <c r="G88" i="23"/>
  <c r="E88" i="23"/>
  <c r="D88" i="23"/>
  <c r="C88" i="23"/>
  <c r="G86" i="23"/>
  <c r="D86" i="23"/>
  <c r="G84" i="23"/>
  <c r="C84" i="23"/>
  <c r="C83" i="23"/>
  <c r="C82" i="23"/>
  <c r="C81" i="23"/>
  <c r="G75" i="23"/>
  <c r="H75" i="23" s="1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0" i="23"/>
  <c r="D50" i="23"/>
  <c r="C50" i="23"/>
  <c r="G49" i="23"/>
  <c r="E49" i="23"/>
  <c r="D49" i="23"/>
  <c r="G48" i="23"/>
  <c r="E48" i="23"/>
  <c r="D48" i="23"/>
  <c r="G47" i="23"/>
  <c r="E47" i="23"/>
  <c r="D47" i="23"/>
  <c r="G45" i="23"/>
  <c r="D45" i="23"/>
  <c r="G44" i="23"/>
  <c r="D44" i="23"/>
  <c r="G43" i="23"/>
  <c r="D43" i="23"/>
  <c r="G42" i="23"/>
  <c r="D42" i="23"/>
  <c r="G41" i="23"/>
  <c r="D41" i="23"/>
  <c r="G40" i="23"/>
  <c r="D40" i="23"/>
  <c r="G39" i="23"/>
  <c r="D39" i="23"/>
  <c r="G38" i="23"/>
  <c r="D38" i="23"/>
  <c r="G36" i="23"/>
  <c r="D36" i="23"/>
  <c r="G35" i="23"/>
  <c r="D35" i="23"/>
  <c r="G34" i="23"/>
  <c r="D34" i="23"/>
  <c r="G33" i="23"/>
  <c r="D33" i="23"/>
  <c r="G32" i="23"/>
  <c r="D32" i="23"/>
  <c r="G31" i="23"/>
  <c r="D31" i="23"/>
  <c r="G30" i="23"/>
  <c r="D30" i="23"/>
  <c r="G29" i="23"/>
  <c r="D29" i="23"/>
  <c r="G28" i="23"/>
  <c r="D28" i="23"/>
  <c r="G27" i="23"/>
  <c r="D27" i="23"/>
  <c r="G26" i="23"/>
  <c r="D26" i="23"/>
  <c r="G25" i="23"/>
  <c r="D25" i="23"/>
  <c r="G24" i="23"/>
  <c r="D24" i="23"/>
  <c r="D22" i="23"/>
  <c r="C22" i="23"/>
  <c r="G21" i="23"/>
  <c r="D21" i="23"/>
  <c r="G20" i="23"/>
  <c r="D20" i="23"/>
  <c r="G19" i="23"/>
  <c r="D19" i="23"/>
  <c r="G18" i="23"/>
  <c r="D18" i="23"/>
  <c r="G17" i="23"/>
  <c r="D17" i="23"/>
  <c r="G16" i="23"/>
  <c r="D16" i="23"/>
  <c r="G15" i="23"/>
  <c r="G14" i="23"/>
  <c r="G13" i="23"/>
  <c r="G10" i="23"/>
  <c r="A9" i="23"/>
  <c r="A23" i="23" s="1"/>
  <c r="A37" i="23" s="1"/>
  <c r="A46" i="23" s="1"/>
  <c r="A51" i="23" s="1"/>
  <c r="G8" i="23"/>
  <c r="E8" i="23"/>
  <c r="D8" i="23"/>
  <c r="C8" i="23"/>
  <c r="G7" i="23"/>
  <c r="H7" i="23" s="1"/>
  <c r="G6" i="23"/>
  <c r="D6" i="23"/>
  <c r="D5" i="23"/>
  <c r="H5" i="23" s="1"/>
  <c r="G301" i="5"/>
  <c r="G292" i="5"/>
  <c r="G293" i="5"/>
  <c r="G294" i="5"/>
  <c r="G295" i="5"/>
  <c r="G296" i="5"/>
  <c r="G297" i="5"/>
  <c r="G298" i="5"/>
  <c r="G299" i="5"/>
  <c r="G291" i="5"/>
  <c r="G266" i="5"/>
  <c r="G267" i="5"/>
  <c r="G268" i="5"/>
  <c r="G269" i="5"/>
  <c r="G270" i="5"/>
  <c r="G271" i="5"/>
  <c r="G272" i="5"/>
  <c r="G273" i="5"/>
  <c r="G274" i="5"/>
  <c r="G275" i="5"/>
  <c r="G278" i="5"/>
  <c r="G279" i="5"/>
  <c r="G280" i="5"/>
  <c r="G281" i="5"/>
  <c r="G282" i="5"/>
  <c r="G283" i="5"/>
  <c r="G284" i="5"/>
  <c r="G286" i="5"/>
  <c r="G287" i="5"/>
  <c r="G288" i="5"/>
  <c r="G289" i="5"/>
  <c r="G265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38" i="5"/>
  <c r="G228" i="5"/>
  <c r="G229" i="5"/>
  <c r="G230" i="5"/>
  <c r="G231" i="5"/>
  <c r="G232" i="5"/>
  <c r="G233" i="5"/>
  <c r="G234" i="5"/>
  <c r="G235" i="5"/>
  <c r="G236" i="5"/>
  <c r="G227" i="5"/>
  <c r="G169" i="5"/>
  <c r="G170" i="5"/>
  <c r="G171" i="5"/>
  <c r="G172" i="5"/>
  <c r="G173" i="5"/>
  <c r="G174" i="5"/>
  <c r="G168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52" i="5"/>
  <c r="G151" i="5"/>
  <c r="A85" i="23" l="1"/>
  <c r="A87" i="23" s="1"/>
  <c r="A105" i="23" s="1"/>
  <c r="A107" i="23" s="1"/>
  <c r="A109" i="23" s="1"/>
  <c r="A111" i="23" s="1"/>
  <c r="A122" i="23" s="1"/>
  <c r="A124" i="23" s="1"/>
  <c r="A134" i="23" s="1"/>
  <c r="A139" i="23" s="1"/>
  <c r="D13" i="23"/>
  <c r="H13" i="23" s="1"/>
  <c r="D14" i="23"/>
  <c r="H14" i="23" s="1"/>
  <c r="D12" i="23"/>
  <c r="H12" i="23" s="1"/>
  <c r="G50" i="5"/>
  <c r="D11" i="23"/>
  <c r="H11" i="23" s="1"/>
  <c r="E325" i="5"/>
  <c r="G105" i="5"/>
  <c r="E23" i="24"/>
  <c r="G101" i="5"/>
  <c r="E29" i="24"/>
  <c r="G56" i="5"/>
  <c r="E27" i="24"/>
  <c r="M27" i="24" s="1"/>
  <c r="H119" i="23"/>
  <c r="H133" i="23"/>
  <c r="D10" i="23"/>
  <c r="H10" i="23" s="1"/>
  <c r="H48" i="23"/>
  <c r="H49" i="23"/>
  <c r="H16" i="23"/>
  <c r="H33" i="23"/>
  <c r="H36" i="23"/>
  <c r="H39" i="23"/>
  <c r="H6" i="23"/>
  <c r="H31" i="23"/>
  <c r="H35" i="23"/>
  <c r="H38" i="23"/>
  <c r="H126" i="23"/>
  <c r="H127" i="23"/>
  <c r="H130" i="23"/>
  <c r="H50" i="23"/>
  <c r="H24" i="23"/>
  <c r="H28" i="23"/>
  <c r="H42" i="23"/>
  <c r="H44" i="23"/>
  <c r="H113" i="23"/>
  <c r="H117" i="23"/>
  <c r="H8" i="23"/>
  <c r="H52" i="23"/>
  <c r="H53" i="23"/>
  <c r="H74" i="23"/>
  <c r="H92" i="23"/>
  <c r="H93" i="23"/>
  <c r="H94" i="23"/>
  <c r="H95" i="23"/>
  <c r="H96" i="23"/>
  <c r="H112" i="23"/>
  <c r="H116" i="23"/>
  <c r="H19" i="23"/>
  <c r="H41" i="23"/>
  <c r="H99" i="23"/>
  <c r="H103" i="23"/>
  <c r="H115" i="23"/>
  <c r="H121" i="23"/>
  <c r="H20" i="23"/>
  <c r="H47" i="23"/>
  <c r="H88" i="23"/>
  <c r="H27" i="23"/>
  <c r="H43" i="23"/>
  <c r="H129" i="23"/>
  <c r="H25" i="23"/>
  <c r="H34" i="23"/>
  <c r="H69" i="23"/>
  <c r="H114" i="23"/>
  <c r="H118" i="23"/>
  <c r="H128" i="23"/>
  <c r="H61" i="23"/>
  <c r="H86" i="23"/>
  <c r="H98" i="23"/>
  <c r="H125" i="23"/>
  <c r="H131" i="23"/>
  <c r="H132" i="23"/>
  <c r="H89" i="23"/>
  <c r="H90" i="23"/>
  <c r="H91" i="23"/>
  <c r="H100" i="23"/>
  <c r="H101" i="23"/>
  <c r="H102" i="23"/>
  <c r="H106" i="23"/>
  <c r="H68" i="23"/>
  <c r="H60" i="23"/>
  <c r="H15" i="23"/>
  <c r="H18" i="23"/>
  <c r="H21" i="23"/>
  <c r="H26" i="23"/>
  <c r="H29" i="23"/>
  <c r="H32" i="23"/>
  <c r="H40" i="23"/>
  <c r="H45" i="23"/>
  <c r="H54" i="23"/>
  <c r="H55" i="23"/>
  <c r="H62" i="23"/>
  <c r="H63" i="23"/>
  <c r="H70" i="23"/>
  <c r="H71" i="23"/>
  <c r="H123" i="23"/>
  <c r="H56" i="23"/>
  <c r="H57" i="23"/>
  <c r="H64" i="23"/>
  <c r="H65" i="23"/>
  <c r="H72" i="23"/>
  <c r="H73" i="23"/>
  <c r="H17" i="23"/>
  <c r="H30" i="23"/>
  <c r="H58" i="23"/>
  <c r="H59" i="23"/>
  <c r="H66" i="23"/>
  <c r="H67" i="23"/>
  <c r="H84" i="23"/>
  <c r="H83" i="23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18" i="5"/>
  <c r="G109" i="5"/>
  <c r="G110" i="5"/>
  <c r="G111" i="5"/>
  <c r="G112" i="5"/>
  <c r="G113" i="5"/>
  <c r="G114" i="5"/>
  <c r="G115" i="5"/>
  <c r="G116" i="5"/>
  <c r="G108" i="5"/>
  <c r="G25" i="5"/>
  <c r="G15" i="5"/>
  <c r="G19" i="5"/>
  <c r="G20" i="5"/>
  <c r="G21" i="5"/>
  <c r="G22" i="5"/>
  <c r="G23" i="5"/>
  <c r="G7" i="5"/>
  <c r="G8" i="5"/>
  <c r="G9" i="5"/>
  <c r="G6" i="5"/>
  <c r="C29" i="24" l="1"/>
  <c r="K29" i="24" s="1"/>
  <c r="F29" i="24"/>
  <c r="N29" i="24" s="1"/>
  <c r="M29" i="24"/>
  <c r="F23" i="24"/>
  <c r="N23" i="24" s="1"/>
  <c r="C23" i="24"/>
  <c r="K23" i="24" s="1"/>
  <c r="M23" i="24"/>
  <c r="F27" i="24"/>
  <c r="C27" i="24"/>
  <c r="K27" i="24" s="1"/>
  <c r="B213" i="22"/>
  <c r="D212" i="22"/>
  <c r="E212" i="22"/>
  <c r="F212" i="22"/>
  <c r="G212" i="22"/>
  <c r="B212" i="22"/>
  <c r="G208" i="22"/>
  <c r="G209" i="22"/>
  <c r="G210" i="22"/>
  <c r="F208" i="22"/>
  <c r="F209" i="22"/>
  <c r="F210" i="22"/>
  <c r="E208" i="22"/>
  <c r="E209" i="22"/>
  <c r="E210" i="22"/>
  <c r="D208" i="22"/>
  <c r="D209" i="22"/>
  <c r="D210" i="22"/>
  <c r="D207" i="22"/>
  <c r="E207" i="22"/>
  <c r="F207" i="22"/>
  <c r="G207" i="22"/>
  <c r="B208" i="22"/>
  <c r="B209" i="22"/>
  <c r="B210" i="22"/>
  <c r="B207" i="22"/>
  <c r="F198" i="22"/>
  <c r="F199" i="22"/>
  <c r="F200" i="22"/>
  <c r="F201" i="22"/>
  <c r="F202" i="22"/>
  <c r="F203" i="22"/>
  <c r="F204" i="22"/>
  <c r="F205" i="22"/>
  <c r="B198" i="22"/>
  <c r="B199" i="22"/>
  <c r="B200" i="22"/>
  <c r="B201" i="22"/>
  <c r="B202" i="22"/>
  <c r="B203" i="22"/>
  <c r="B204" i="22"/>
  <c r="B205" i="22"/>
  <c r="F197" i="22"/>
  <c r="B197" i="22"/>
  <c r="E195" i="22"/>
  <c r="F195" i="22"/>
  <c r="F185" i="22"/>
  <c r="F186" i="22"/>
  <c r="F187" i="22"/>
  <c r="F188" i="22"/>
  <c r="F189" i="22"/>
  <c r="F190" i="22"/>
  <c r="F191" i="22"/>
  <c r="F192" i="22"/>
  <c r="F193" i="22"/>
  <c r="E185" i="22"/>
  <c r="E186" i="22"/>
  <c r="E187" i="22"/>
  <c r="E188" i="22"/>
  <c r="E189" i="22"/>
  <c r="E190" i="22"/>
  <c r="E191" i="22"/>
  <c r="E192" i="22"/>
  <c r="E193" i="22"/>
  <c r="D192" i="22"/>
  <c r="C192" i="22"/>
  <c r="B185" i="22"/>
  <c r="B186" i="22"/>
  <c r="B187" i="22"/>
  <c r="B188" i="22"/>
  <c r="B189" i="22"/>
  <c r="B190" i="22"/>
  <c r="B191" i="22"/>
  <c r="B192" i="22"/>
  <c r="F184" i="22"/>
  <c r="B184" i="22"/>
  <c r="E182" i="22"/>
  <c r="B182" i="22"/>
  <c r="C180" i="22"/>
  <c r="D180" i="22"/>
  <c r="E180" i="22"/>
  <c r="G180" i="22"/>
  <c r="E178" i="22"/>
  <c r="F178" i="22"/>
  <c r="B178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E169" i="22"/>
  <c r="E176" i="22"/>
  <c r="D169" i="22"/>
  <c r="D176" i="22"/>
  <c r="C169" i="22"/>
  <c r="C176" i="22"/>
  <c r="F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60" i="22"/>
  <c r="E158" i="22"/>
  <c r="F158" i="22"/>
  <c r="B158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C127" i="22"/>
  <c r="C128" i="22"/>
  <c r="C126" i="22"/>
  <c r="F126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C96" i="22"/>
  <c r="C95" i="22"/>
  <c r="F95" i="22"/>
  <c r="F91" i="22"/>
  <c r="F92" i="22"/>
  <c r="F93" i="22"/>
  <c r="E93" i="22"/>
  <c r="C91" i="22"/>
  <c r="C92" i="22"/>
  <c r="C90" i="22"/>
  <c r="F90" i="22"/>
  <c r="F82" i="22"/>
  <c r="F83" i="22"/>
  <c r="F84" i="22"/>
  <c r="F85" i="22"/>
  <c r="F86" i="22"/>
  <c r="F87" i="22"/>
  <c r="F88" i="22"/>
  <c r="E82" i="22"/>
  <c r="E83" i="22"/>
  <c r="E84" i="22"/>
  <c r="E85" i="22"/>
  <c r="E86" i="22"/>
  <c r="E87" i="22"/>
  <c r="E88" i="22"/>
  <c r="C82" i="22"/>
  <c r="C83" i="22"/>
  <c r="C84" i="22"/>
  <c r="C85" i="22"/>
  <c r="C86" i="22"/>
  <c r="C87" i="22"/>
  <c r="C88" i="22"/>
  <c r="B82" i="22"/>
  <c r="B83" i="22"/>
  <c r="B84" i="22"/>
  <c r="B85" i="22"/>
  <c r="B86" i="22"/>
  <c r="B87" i="22"/>
  <c r="B88" i="22"/>
  <c r="C81" i="22"/>
  <c r="E81" i="22"/>
  <c r="F81" i="22"/>
  <c r="B81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B68" i="22"/>
  <c r="B69" i="22"/>
  <c r="B70" i="22"/>
  <c r="B71" i="22"/>
  <c r="B72" i="22"/>
  <c r="B73" i="22"/>
  <c r="B79" i="22"/>
  <c r="C67" i="22"/>
  <c r="E67" i="22"/>
  <c r="F67" i="22"/>
  <c r="B67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11" i="22"/>
  <c r="E11" i="22"/>
  <c r="F11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F9" i="22"/>
  <c r="D8" i="22"/>
  <c r="E8" i="22"/>
  <c r="F8" i="22"/>
  <c r="E7" i="22"/>
  <c r="F7" i="22"/>
  <c r="E6" i="22"/>
  <c r="F6" i="22"/>
  <c r="E5" i="22"/>
  <c r="F5" i="22"/>
  <c r="G5" i="22"/>
  <c r="C7" i="22"/>
  <c r="C8" i="22"/>
  <c r="B6" i="22"/>
  <c r="B7" i="22"/>
  <c r="B8" i="22"/>
  <c r="B9" i="22"/>
  <c r="B5" i="22"/>
  <c r="A10" i="22"/>
  <c r="A66" i="22" s="1"/>
  <c r="A80" i="22" s="1"/>
  <c r="A89" i="22" s="1"/>
  <c r="A94" i="22" s="1"/>
  <c r="A125" i="22" s="1"/>
  <c r="A157" i="22" s="1"/>
  <c r="A159" i="22" s="1"/>
  <c r="A177" i="22" s="1"/>
  <c r="A179" i="22" s="1"/>
  <c r="A181" i="22" s="1"/>
  <c r="A183" i="22" s="1"/>
  <c r="A194" i="22" s="1"/>
  <c r="A196" i="22" s="1"/>
  <c r="A206" i="22" s="1"/>
  <c r="A211" i="22" s="1"/>
  <c r="G23" i="24" l="1"/>
  <c r="G29" i="24"/>
  <c r="O23" i="24"/>
  <c r="O29" i="24"/>
  <c r="G27" i="24"/>
  <c r="N27" i="24"/>
  <c r="O27" i="24" s="1"/>
  <c r="G212" i="20"/>
  <c r="G199" i="22" s="1"/>
  <c r="G213" i="20"/>
  <c r="G200" i="22" s="1"/>
  <c r="G214" i="20"/>
  <c r="G201" i="22" s="1"/>
  <c r="G215" i="20"/>
  <c r="G202" i="22" s="1"/>
  <c r="G216" i="20"/>
  <c r="G203" i="22" s="1"/>
  <c r="G217" i="20"/>
  <c r="G204" i="22" s="1"/>
  <c r="G218" i="20"/>
  <c r="G205" i="22" s="1"/>
  <c r="G211" i="20"/>
  <c r="G198" i="22" s="1"/>
  <c r="G210" i="20"/>
  <c r="G197" i="22" s="1"/>
  <c r="E211" i="20"/>
  <c r="E198" i="22" s="1"/>
  <c r="E212" i="20"/>
  <c r="E199" i="22" s="1"/>
  <c r="E213" i="20"/>
  <c r="E200" i="22" s="1"/>
  <c r="E214" i="20"/>
  <c r="E201" i="22" s="1"/>
  <c r="E215" i="20"/>
  <c r="E202" i="22" s="1"/>
  <c r="E216" i="20"/>
  <c r="E203" i="22" s="1"/>
  <c r="E217" i="20"/>
  <c r="E204" i="22" s="1"/>
  <c r="E218" i="20"/>
  <c r="E205" i="22" s="1"/>
  <c r="D211" i="20"/>
  <c r="D198" i="22" s="1"/>
  <c r="D212" i="20"/>
  <c r="D199" i="22" s="1"/>
  <c r="D213" i="20"/>
  <c r="D200" i="22" s="1"/>
  <c r="D214" i="20"/>
  <c r="D201" i="22" s="1"/>
  <c r="D215" i="20"/>
  <c r="D202" i="22" s="1"/>
  <c r="D216" i="20"/>
  <c r="D203" i="22" s="1"/>
  <c r="D217" i="20"/>
  <c r="D204" i="22" s="1"/>
  <c r="D218" i="20"/>
  <c r="D205" i="22" s="1"/>
  <c r="D210" i="20"/>
  <c r="D197" i="22" s="1"/>
  <c r="E210" i="20"/>
  <c r="E197" i="22" s="1"/>
  <c r="C211" i="20"/>
  <c r="C198" i="22" s="1"/>
  <c r="C212" i="20"/>
  <c r="C199" i="22" s="1"/>
  <c r="C213" i="20"/>
  <c r="C200" i="22" s="1"/>
  <c r="C214" i="20"/>
  <c r="C201" i="22" s="1"/>
  <c r="C215" i="20"/>
  <c r="C202" i="22" s="1"/>
  <c r="C216" i="20"/>
  <c r="C203" i="22" s="1"/>
  <c r="C217" i="20"/>
  <c r="C204" i="22" s="1"/>
  <c r="C218" i="20"/>
  <c r="C205" i="22" s="1"/>
  <c r="C210" i="20"/>
  <c r="C197" i="22" s="1"/>
  <c r="A23" i="20"/>
  <c r="A79" i="20" s="1"/>
  <c r="A93" i="20" s="1"/>
  <c r="A102" i="20" s="1"/>
  <c r="A107" i="20" s="1"/>
  <c r="A138" i="20" s="1"/>
  <c r="A170" i="20" s="1"/>
  <c r="A172" i="20" s="1"/>
  <c r="A190" i="20" s="1"/>
  <c r="A192" i="20" s="1"/>
  <c r="A194" i="20" s="1"/>
  <c r="A196" i="20" s="1"/>
  <c r="A207" i="20" s="1"/>
  <c r="A209" i="20" s="1"/>
  <c r="A219" i="20" s="1"/>
  <c r="A224" i="20" s="1"/>
  <c r="H218" i="20" l="1"/>
  <c r="H205" i="22" s="1"/>
  <c r="H214" i="20"/>
  <c r="H201" i="22" s="1"/>
  <c r="H217" i="20"/>
  <c r="H204" i="22" s="1"/>
  <c r="H213" i="20"/>
  <c r="H200" i="22" s="1"/>
  <c r="H216" i="20"/>
  <c r="H203" i="22" s="1"/>
  <c r="H212" i="20"/>
  <c r="H199" i="22" s="1"/>
  <c r="H210" i="20"/>
  <c r="H197" i="22" s="1"/>
  <c r="H215" i="20"/>
  <c r="H202" i="22" s="1"/>
  <c r="H211" i="20"/>
  <c r="H198" i="22" s="1"/>
  <c r="D20" i="20"/>
  <c r="D7" i="22" s="1"/>
  <c r="C18" i="20"/>
  <c r="G12" i="5"/>
  <c r="F78" i="20" s="1"/>
  <c r="F65" i="22" s="1"/>
  <c r="D78" i="20"/>
  <c r="D65" i="22" s="1"/>
  <c r="G256" i="5"/>
  <c r="G257" i="5"/>
  <c r="G258" i="5"/>
  <c r="G259" i="5"/>
  <c r="G260" i="5"/>
  <c r="G261" i="5"/>
  <c r="G262" i="5"/>
  <c r="G263" i="5"/>
  <c r="G255" i="5"/>
  <c r="E31" i="24" l="1"/>
  <c r="F22" i="23"/>
  <c r="E19" i="24"/>
  <c r="F110" i="23"/>
  <c r="G110" i="23" s="1"/>
  <c r="H110" i="23" s="1"/>
  <c r="F195" i="20"/>
  <c r="F182" i="22" s="1"/>
  <c r="D18" i="20"/>
  <c r="D5" i="22" s="1"/>
  <c r="C5" i="22"/>
  <c r="D86" i="20"/>
  <c r="D73" i="22" s="1"/>
  <c r="D85" i="20"/>
  <c r="D72" i="22" s="1"/>
  <c r="D84" i="20"/>
  <c r="D71" i="22" s="1"/>
  <c r="M19" i="24" l="1"/>
  <c r="C19" i="24"/>
  <c r="K19" i="24" s="1"/>
  <c r="F19" i="24"/>
  <c r="N19" i="24" s="1"/>
  <c r="G22" i="23"/>
  <c r="H22" i="23" s="1"/>
  <c r="C31" i="24"/>
  <c r="K31" i="24" s="1"/>
  <c r="M31" i="24"/>
  <c r="F31" i="24"/>
  <c r="N31" i="24" s="1"/>
  <c r="G19" i="20"/>
  <c r="G6" i="22" s="1"/>
  <c r="G20" i="20"/>
  <c r="G7" i="22" s="1"/>
  <c r="G21" i="20"/>
  <c r="G22" i="20"/>
  <c r="G9" i="22" s="1"/>
  <c r="G24" i="20"/>
  <c r="G11" i="22" s="1"/>
  <c r="G25" i="20"/>
  <c r="G12" i="22" s="1"/>
  <c r="G26" i="20"/>
  <c r="G13" i="22" s="1"/>
  <c r="G27" i="20"/>
  <c r="G14" i="22" s="1"/>
  <c r="G28" i="20"/>
  <c r="G15" i="22" s="1"/>
  <c r="G29" i="20"/>
  <c r="G16" i="22" s="1"/>
  <c r="G30" i="20"/>
  <c r="G17" i="22" s="1"/>
  <c r="G31" i="20"/>
  <c r="G18" i="22" s="1"/>
  <c r="G32" i="20"/>
  <c r="G19" i="22" s="1"/>
  <c r="G33" i="20"/>
  <c r="G20" i="22" s="1"/>
  <c r="G34" i="20"/>
  <c r="G21" i="22" s="1"/>
  <c r="G35" i="20"/>
  <c r="G22" i="22" s="1"/>
  <c r="G36" i="20"/>
  <c r="G23" i="22" s="1"/>
  <c r="G37" i="20"/>
  <c r="G24" i="22" s="1"/>
  <c r="G38" i="20"/>
  <c r="G25" i="22" s="1"/>
  <c r="G39" i="20"/>
  <c r="G26" i="22" s="1"/>
  <c r="G40" i="20"/>
  <c r="G27" i="22" s="1"/>
  <c r="G41" i="20"/>
  <c r="G28" i="22" s="1"/>
  <c r="G42" i="20"/>
  <c r="G29" i="22" s="1"/>
  <c r="G43" i="20"/>
  <c r="G30" i="22" s="1"/>
  <c r="G44" i="20"/>
  <c r="G31" i="22" s="1"/>
  <c r="G45" i="20"/>
  <c r="G32" i="22" s="1"/>
  <c r="G46" i="20"/>
  <c r="G33" i="22" s="1"/>
  <c r="G47" i="20"/>
  <c r="G34" i="22" s="1"/>
  <c r="G48" i="20"/>
  <c r="G35" i="22" s="1"/>
  <c r="G49" i="20"/>
  <c r="G36" i="22" s="1"/>
  <c r="G50" i="20"/>
  <c r="G37" i="22" s="1"/>
  <c r="G51" i="20"/>
  <c r="G38" i="22" s="1"/>
  <c r="G52" i="20"/>
  <c r="G39" i="22" s="1"/>
  <c r="G53" i="20"/>
  <c r="G40" i="22" s="1"/>
  <c r="G54" i="20"/>
  <c r="G41" i="22" s="1"/>
  <c r="G55" i="20"/>
  <c r="G42" i="22" s="1"/>
  <c r="G56" i="20"/>
  <c r="G43" i="22" s="1"/>
  <c r="G57" i="20"/>
  <c r="G44" i="22" s="1"/>
  <c r="G58" i="20"/>
  <c r="G45" i="22" s="1"/>
  <c r="G59" i="20"/>
  <c r="G46" i="22" s="1"/>
  <c r="G60" i="20"/>
  <c r="G47" i="22" s="1"/>
  <c r="G61" i="20"/>
  <c r="G48" i="22" s="1"/>
  <c r="G62" i="20"/>
  <c r="G49" i="22" s="1"/>
  <c r="G63" i="20"/>
  <c r="G50" i="22" s="1"/>
  <c r="G64" i="20"/>
  <c r="G51" i="22" s="1"/>
  <c r="G65" i="20"/>
  <c r="G52" i="22" s="1"/>
  <c r="G66" i="20"/>
  <c r="G53" i="22" s="1"/>
  <c r="G67" i="20"/>
  <c r="G54" i="22" s="1"/>
  <c r="G68" i="20"/>
  <c r="G55" i="22" s="1"/>
  <c r="G69" i="20"/>
  <c r="G56" i="22" s="1"/>
  <c r="G70" i="20"/>
  <c r="G57" i="22" s="1"/>
  <c r="G71" i="20"/>
  <c r="G58" i="22" s="1"/>
  <c r="G72" i="20"/>
  <c r="G59" i="22" s="1"/>
  <c r="G73" i="20"/>
  <c r="G60" i="22" s="1"/>
  <c r="G74" i="20"/>
  <c r="G61" i="22" s="1"/>
  <c r="G75" i="20"/>
  <c r="G62" i="22" s="1"/>
  <c r="G76" i="20"/>
  <c r="G63" i="22" s="1"/>
  <c r="G77" i="20"/>
  <c r="G64" i="22" s="1"/>
  <c r="G78" i="20"/>
  <c r="G80" i="20"/>
  <c r="G67" i="22" s="1"/>
  <c r="G81" i="20"/>
  <c r="G68" i="22" s="1"/>
  <c r="G82" i="20"/>
  <c r="G69" i="22" s="1"/>
  <c r="G83" i="20"/>
  <c r="G70" i="22" s="1"/>
  <c r="G84" i="20"/>
  <c r="G85" i="20"/>
  <c r="G86" i="20"/>
  <c r="G87" i="20"/>
  <c r="G74" i="22" s="1"/>
  <c r="G88" i="20"/>
  <c r="G75" i="22" s="1"/>
  <c r="G89" i="20"/>
  <c r="G76" i="22" s="1"/>
  <c r="G90" i="20"/>
  <c r="G77" i="22" s="1"/>
  <c r="G91" i="20"/>
  <c r="G78" i="22" s="1"/>
  <c r="G92" i="20"/>
  <c r="G79" i="22" s="1"/>
  <c r="G94" i="20"/>
  <c r="G81" i="22" s="1"/>
  <c r="G95" i="20"/>
  <c r="G82" i="22" s="1"/>
  <c r="G96" i="20"/>
  <c r="G83" i="22" s="1"/>
  <c r="G97" i="20"/>
  <c r="G84" i="22" s="1"/>
  <c r="G98" i="20"/>
  <c r="G85" i="22" s="1"/>
  <c r="G99" i="20"/>
  <c r="G86" i="22" s="1"/>
  <c r="G100" i="20"/>
  <c r="G87" i="22" s="1"/>
  <c r="G101" i="20"/>
  <c r="G88" i="22" s="1"/>
  <c r="G103" i="20"/>
  <c r="G90" i="22" s="1"/>
  <c r="G104" i="20"/>
  <c r="G91" i="22" s="1"/>
  <c r="G105" i="20"/>
  <c r="G92" i="22" s="1"/>
  <c r="G106" i="20"/>
  <c r="G93" i="22" s="1"/>
  <c r="G108" i="20"/>
  <c r="G95" i="22" s="1"/>
  <c r="G109" i="20"/>
  <c r="G96" i="22" s="1"/>
  <c r="G110" i="20"/>
  <c r="G97" i="22" s="1"/>
  <c r="G111" i="20"/>
  <c r="G98" i="22" s="1"/>
  <c r="G112" i="20"/>
  <c r="G99" i="22" s="1"/>
  <c r="G113" i="20"/>
  <c r="G100" i="22" s="1"/>
  <c r="G114" i="20"/>
  <c r="G101" i="22" s="1"/>
  <c r="G115" i="20"/>
  <c r="G102" i="22" s="1"/>
  <c r="G116" i="20"/>
  <c r="G103" i="22" s="1"/>
  <c r="G117" i="20"/>
  <c r="G104" i="22" s="1"/>
  <c r="G118" i="20"/>
  <c r="G105" i="22" s="1"/>
  <c r="G119" i="20"/>
  <c r="G106" i="22" s="1"/>
  <c r="G120" i="20"/>
  <c r="G107" i="22" s="1"/>
  <c r="G121" i="20"/>
  <c r="G108" i="22" s="1"/>
  <c r="G122" i="20"/>
  <c r="G109" i="22" s="1"/>
  <c r="G123" i="20"/>
  <c r="G110" i="22" s="1"/>
  <c r="G124" i="20"/>
  <c r="G111" i="22" s="1"/>
  <c r="G125" i="20"/>
  <c r="G112" i="22" s="1"/>
  <c r="G126" i="20"/>
  <c r="G113" i="22" s="1"/>
  <c r="G127" i="20"/>
  <c r="G114" i="22" s="1"/>
  <c r="G128" i="20"/>
  <c r="G115" i="22" s="1"/>
  <c r="G129" i="20"/>
  <c r="G116" i="22" s="1"/>
  <c r="G130" i="20"/>
  <c r="G117" i="22" s="1"/>
  <c r="G131" i="20"/>
  <c r="G118" i="22" s="1"/>
  <c r="G132" i="20"/>
  <c r="G119" i="22" s="1"/>
  <c r="G133" i="20"/>
  <c r="G120" i="22" s="1"/>
  <c r="G134" i="20"/>
  <c r="G121" i="22" s="1"/>
  <c r="G135" i="20"/>
  <c r="G122" i="22" s="1"/>
  <c r="G136" i="20"/>
  <c r="G123" i="22" s="1"/>
  <c r="G137" i="20"/>
  <c r="G124" i="22" s="1"/>
  <c r="G139" i="20"/>
  <c r="G126" i="22" s="1"/>
  <c r="G140" i="20"/>
  <c r="G127" i="22" s="1"/>
  <c r="G141" i="20"/>
  <c r="G128" i="22" s="1"/>
  <c r="G142" i="20"/>
  <c r="G129" i="22" s="1"/>
  <c r="G143" i="20"/>
  <c r="G130" i="22" s="1"/>
  <c r="G144" i="20"/>
  <c r="G131" i="22" s="1"/>
  <c r="G145" i="20"/>
  <c r="G132" i="22" s="1"/>
  <c r="G146" i="20"/>
  <c r="G133" i="22" s="1"/>
  <c r="G147" i="20"/>
  <c r="G134" i="22" s="1"/>
  <c r="G148" i="20"/>
  <c r="G135" i="22" s="1"/>
  <c r="G149" i="20"/>
  <c r="G136" i="22" s="1"/>
  <c r="G150" i="20"/>
  <c r="G137" i="22" s="1"/>
  <c r="G151" i="20"/>
  <c r="G138" i="22" s="1"/>
  <c r="G152" i="20"/>
  <c r="G139" i="22" s="1"/>
  <c r="G153" i="20"/>
  <c r="G140" i="22" s="1"/>
  <c r="G154" i="20"/>
  <c r="G141" i="22" s="1"/>
  <c r="G155" i="20"/>
  <c r="G142" i="22" s="1"/>
  <c r="G156" i="20"/>
  <c r="G143" i="22" s="1"/>
  <c r="G157" i="20"/>
  <c r="G144" i="22" s="1"/>
  <c r="G158" i="20"/>
  <c r="G145" i="22" s="1"/>
  <c r="G159" i="20"/>
  <c r="G146" i="22" s="1"/>
  <c r="G160" i="20"/>
  <c r="G147" i="22" s="1"/>
  <c r="G161" i="20"/>
  <c r="G148" i="22" s="1"/>
  <c r="G162" i="20"/>
  <c r="G149" i="22" s="1"/>
  <c r="G163" i="20"/>
  <c r="G150" i="22" s="1"/>
  <c r="G164" i="20"/>
  <c r="G151" i="22" s="1"/>
  <c r="G165" i="20"/>
  <c r="G152" i="22" s="1"/>
  <c r="G166" i="20"/>
  <c r="G153" i="22" s="1"/>
  <c r="G167" i="20"/>
  <c r="G154" i="22" s="1"/>
  <c r="G168" i="20"/>
  <c r="G155" i="22" s="1"/>
  <c r="G169" i="20"/>
  <c r="G156" i="22" s="1"/>
  <c r="G171" i="20"/>
  <c r="G158" i="22" s="1"/>
  <c r="G173" i="20"/>
  <c r="G160" i="22" s="1"/>
  <c r="G174" i="20"/>
  <c r="G161" i="22" s="1"/>
  <c r="G175" i="20"/>
  <c r="G162" i="22" s="1"/>
  <c r="G176" i="20"/>
  <c r="G163" i="22" s="1"/>
  <c r="G177" i="20"/>
  <c r="G164" i="22" s="1"/>
  <c r="G178" i="20"/>
  <c r="G165" i="22" s="1"/>
  <c r="G179" i="20"/>
  <c r="G166" i="22" s="1"/>
  <c r="G180" i="20"/>
  <c r="G167" i="22" s="1"/>
  <c r="G181" i="20"/>
  <c r="G168" i="22" s="1"/>
  <c r="G182" i="20"/>
  <c r="G183" i="20"/>
  <c r="G170" i="22" s="1"/>
  <c r="G184" i="20"/>
  <c r="G171" i="22" s="1"/>
  <c r="G185" i="20"/>
  <c r="G172" i="22" s="1"/>
  <c r="G186" i="20"/>
  <c r="G173" i="22" s="1"/>
  <c r="G187" i="20"/>
  <c r="G174" i="22" s="1"/>
  <c r="G188" i="20"/>
  <c r="G175" i="22" s="1"/>
  <c r="G189" i="20"/>
  <c r="G191" i="20"/>
  <c r="G178" i="22" s="1"/>
  <c r="G195" i="20"/>
  <c r="G182" i="22" s="1"/>
  <c r="G197" i="20"/>
  <c r="G184" i="22" s="1"/>
  <c r="G198" i="20"/>
  <c r="G185" i="22" s="1"/>
  <c r="G199" i="20"/>
  <c r="G186" i="22" s="1"/>
  <c r="G200" i="20"/>
  <c r="G187" i="22" s="1"/>
  <c r="G201" i="20"/>
  <c r="G188" i="22" s="1"/>
  <c r="G202" i="20"/>
  <c r="G189" i="22" s="1"/>
  <c r="G203" i="20"/>
  <c r="G190" i="22" s="1"/>
  <c r="G204" i="20"/>
  <c r="G191" i="22" s="1"/>
  <c r="G205" i="20"/>
  <c r="G206" i="20"/>
  <c r="G193" i="22" s="1"/>
  <c r="G208" i="20"/>
  <c r="G195" i="22" s="1"/>
  <c r="G11" i="5"/>
  <c r="O19" i="24" l="1"/>
  <c r="G31" i="24"/>
  <c r="G19" i="24"/>
  <c r="O31" i="24"/>
  <c r="H84" i="20"/>
  <c r="H71" i="22" s="1"/>
  <c r="G71" i="22"/>
  <c r="H189" i="20"/>
  <c r="H176" i="22" s="1"/>
  <c r="G176" i="22"/>
  <c r="H21" i="20"/>
  <c r="H8" i="22" s="1"/>
  <c r="G8" i="22"/>
  <c r="H182" i="20"/>
  <c r="H169" i="22" s="1"/>
  <c r="G169" i="22"/>
  <c r="H205" i="20"/>
  <c r="H192" i="22" s="1"/>
  <c r="G192" i="22"/>
  <c r="H86" i="20"/>
  <c r="H73" i="22" s="1"/>
  <c r="G73" i="22"/>
  <c r="H85" i="20"/>
  <c r="H72" i="22" s="1"/>
  <c r="G72" i="22"/>
  <c r="H78" i="20"/>
  <c r="H65" i="22" s="1"/>
  <c r="G65" i="22"/>
  <c r="G219" i="5"/>
  <c r="G220" i="5"/>
  <c r="G221" i="5"/>
  <c r="G223" i="5"/>
  <c r="G204" i="5"/>
  <c r="G205" i="5"/>
  <c r="G208" i="5"/>
  <c r="G210" i="5"/>
  <c r="G211" i="5"/>
  <c r="G212" i="5"/>
  <c r="G213" i="5"/>
  <c r="G214" i="5"/>
  <c r="G215" i="5"/>
  <c r="G216" i="5"/>
  <c r="G217" i="5"/>
  <c r="G218" i="5"/>
  <c r="G192" i="5"/>
  <c r="G193" i="5"/>
  <c r="G197" i="5"/>
  <c r="G198" i="5"/>
  <c r="G199" i="5"/>
  <c r="G200" i="5"/>
  <c r="G201" i="5"/>
  <c r="G202" i="5"/>
  <c r="G203" i="5"/>
  <c r="G186" i="5"/>
  <c r="G187" i="5"/>
  <c r="G176" i="5"/>
  <c r="C153" i="14"/>
  <c r="C154" i="14"/>
  <c r="C155" i="14"/>
  <c r="C156" i="14"/>
  <c r="B152" i="14"/>
  <c r="B153" i="14"/>
  <c r="B154" i="14"/>
  <c r="B155" i="14"/>
  <c r="B156" i="14"/>
  <c r="A156" i="14"/>
  <c r="A153" i="14"/>
  <c r="A154" i="14"/>
  <c r="A155" i="14"/>
  <c r="H220" i="20" l="1"/>
  <c r="H207" i="22" s="1"/>
  <c r="C208" i="20"/>
  <c r="D130" i="20"/>
  <c r="D131" i="20"/>
  <c r="D132" i="20"/>
  <c r="D119" i="22" s="1"/>
  <c r="E132" i="20"/>
  <c r="E119" i="22" s="1"/>
  <c r="E131" i="20"/>
  <c r="E118" i="22" s="1"/>
  <c r="C131" i="20"/>
  <c r="C118" i="22" s="1"/>
  <c r="C132" i="20"/>
  <c r="C119" i="22" s="1"/>
  <c r="E164" i="20"/>
  <c r="E151" i="22" s="1"/>
  <c r="E163" i="20"/>
  <c r="E150" i="22" s="1"/>
  <c r="C163" i="20"/>
  <c r="C150" i="22" s="1"/>
  <c r="C164" i="20"/>
  <c r="C151" i="22" s="1"/>
  <c r="E162" i="20"/>
  <c r="E149" i="22" s="1"/>
  <c r="C162" i="20"/>
  <c r="C149" i="22" s="1"/>
  <c r="E130" i="20"/>
  <c r="E117" i="22" s="1"/>
  <c r="C130" i="20"/>
  <c r="C117" i="22" s="1"/>
  <c r="H131" i="20" l="1"/>
  <c r="H118" i="22" s="1"/>
  <c r="D118" i="22"/>
  <c r="H130" i="20"/>
  <c r="H117" i="22" s="1"/>
  <c r="D117" i="22"/>
  <c r="D208" i="20"/>
  <c r="C195" i="22"/>
  <c r="D163" i="20"/>
  <c r="D162" i="20"/>
  <c r="D164" i="20"/>
  <c r="H132" i="20"/>
  <c r="H119" i="22" s="1"/>
  <c r="B206" i="20"/>
  <c r="B193" i="22" s="1"/>
  <c r="D206" i="20"/>
  <c r="D204" i="20"/>
  <c r="C204" i="20"/>
  <c r="C191" i="22" s="1"/>
  <c r="D199" i="20"/>
  <c r="D200" i="20"/>
  <c r="D201" i="20"/>
  <c r="D202" i="20"/>
  <c r="D203" i="20"/>
  <c r="D198" i="20"/>
  <c r="C198" i="20"/>
  <c r="C185" i="22" s="1"/>
  <c r="C199" i="20"/>
  <c r="C186" i="22" s="1"/>
  <c r="C200" i="20"/>
  <c r="C187" i="22" s="1"/>
  <c r="C201" i="20"/>
  <c r="C188" i="22" s="1"/>
  <c r="C202" i="20"/>
  <c r="C189" i="22" s="1"/>
  <c r="C203" i="20"/>
  <c r="C190" i="22" s="1"/>
  <c r="D197" i="20"/>
  <c r="E197" i="20"/>
  <c r="E184" i="22" s="1"/>
  <c r="C197" i="20"/>
  <c r="C184" i="22" s="1"/>
  <c r="C191" i="20"/>
  <c r="D195" i="20"/>
  <c r="C195" i="20"/>
  <c r="C182" i="22" s="1"/>
  <c r="E174" i="20"/>
  <c r="E161" i="22" s="1"/>
  <c r="E175" i="20"/>
  <c r="E162" i="22" s="1"/>
  <c r="E176" i="20"/>
  <c r="E163" i="22" s="1"/>
  <c r="E177" i="20"/>
  <c r="E164" i="22" s="1"/>
  <c r="E178" i="20"/>
  <c r="E165" i="22" s="1"/>
  <c r="E179" i="20"/>
  <c r="E166" i="22" s="1"/>
  <c r="E180" i="20"/>
  <c r="E167" i="22" s="1"/>
  <c r="E181" i="20"/>
  <c r="E168" i="22" s="1"/>
  <c r="E183" i="20"/>
  <c r="E170" i="22" s="1"/>
  <c r="E184" i="20"/>
  <c r="E171" i="22" s="1"/>
  <c r="E185" i="20"/>
  <c r="E172" i="22" s="1"/>
  <c r="E186" i="20"/>
  <c r="E173" i="22" s="1"/>
  <c r="E187" i="20"/>
  <c r="E174" i="22" s="1"/>
  <c r="E188" i="20"/>
  <c r="E175" i="22" s="1"/>
  <c r="D174" i="20"/>
  <c r="D175" i="20"/>
  <c r="D176" i="20"/>
  <c r="D177" i="20"/>
  <c r="D178" i="20"/>
  <c r="D179" i="20"/>
  <c r="D180" i="20"/>
  <c r="D181" i="20"/>
  <c r="D183" i="20"/>
  <c r="D184" i="20"/>
  <c r="D185" i="20"/>
  <c r="D186" i="20"/>
  <c r="D187" i="20"/>
  <c r="D188" i="20"/>
  <c r="D173" i="20"/>
  <c r="E173" i="20"/>
  <c r="E160" i="22" s="1"/>
  <c r="C174" i="20"/>
  <c r="C161" i="22" s="1"/>
  <c r="C175" i="20"/>
  <c r="C162" i="22" s="1"/>
  <c r="C176" i="20"/>
  <c r="C163" i="22" s="1"/>
  <c r="C177" i="20"/>
  <c r="C164" i="22" s="1"/>
  <c r="C178" i="20"/>
  <c r="C165" i="22" s="1"/>
  <c r="C179" i="20"/>
  <c r="C166" i="22" s="1"/>
  <c r="C180" i="20"/>
  <c r="C167" i="22" s="1"/>
  <c r="C181" i="20"/>
  <c r="C168" i="22" s="1"/>
  <c r="C183" i="20"/>
  <c r="C170" i="22" s="1"/>
  <c r="C184" i="20"/>
  <c r="C171" i="22" s="1"/>
  <c r="C185" i="20"/>
  <c r="C172" i="22" s="1"/>
  <c r="C186" i="20"/>
  <c r="C173" i="22" s="1"/>
  <c r="C187" i="20"/>
  <c r="C174" i="22" s="1"/>
  <c r="C188" i="20"/>
  <c r="C175" i="22" s="1"/>
  <c r="C173" i="20"/>
  <c r="C160" i="22" s="1"/>
  <c r="D171" i="20"/>
  <c r="C171" i="20"/>
  <c r="C158" i="22" s="1"/>
  <c r="D109" i="20"/>
  <c r="D108" i="20"/>
  <c r="B141" i="20"/>
  <c r="B128" i="22" s="1"/>
  <c r="B140" i="20"/>
  <c r="B127" i="22" s="1"/>
  <c r="B139" i="20"/>
  <c r="B126" i="22" s="1"/>
  <c r="E169" i="20"/>
  <c r="E156" i="22" s="1"/>
  <c r="E168" i="20"/>
  <c r="E155" i="22" s="1"/>
  <c r="C169" i="20"/>
  <c r="C168" i="20"/>
  <c r="C167" i="20"/>
  <c r="C166" i="20"/>
  <c r="C161" i="20"/>
  <c r="C160" i="20"/>
  <c r="C159" i="20"/>
  <c r="C143" i="20"/>
  <c r="C142" i="20"/>
  <c r="C135" i="20"/>
  <c r="C122" i="22" s="1"/>
  <c r="C134" i="20"/>
  <c r="C121" i="22" s="1"/>
  <c r="C129" i="20"/>
  <c r="C116" i="22" s="1"/>
  <c r="C128" i="20"/>
  <c r="C115" i="22" s="1"/>
  <c r="C127" i="20"/>
  <c r="C114" i="22" s="1"/>
  <c r="C111" i="20"/>
  <c r="C98" i="22" s="1"/>
  <c r="C110" i="20"/>
  <c r="C97" i="22" s="1"/>
  <c r="C158" i="20"/>
  <c r="C145" i="20"/>
  <c r="C144" i="20"/>
  <c r="C126" i="20"/>
  <c r="C113" i="22" s="1"/>
  <c r="C113" i="20"/>
  <c r="C100" i="22" s="1"/>
  <c r="C112" i="20"/>
  <c r="C99" i="22" s="1"/>
  <c r="H187" i="20" l="1"/>
  <c r="H174" i="22" s="1"/>
  <c r="D174" i="22"/>
  <c r="H183" i="20"/>
  <c r="H170" i="22" s="1"/>
  <c r="D170" i="22"/>
  <c r="H178" i="20"/>
  <c r="H165" i="22" s="1"/>
  <c r="D165" i="22"/>
  <c r="H174" i="20"/>
  <c r="H161" i="22" s="1"/>
  <c r="D161" i="22"/>
  <c r="H195" i="20"/>
  <c r="H182" i="22" s="1"/>
  <c r="D182" i="22"/>
  <c r="H197" i="20"/>
  <c r="H184" i="22" s="1"/>
  <c r="D184" i="22"/>
  <c r="H203" i="20"/>
  <c r="H190" i="22" s="1"/>
  <c r="D190" i="22"/>
  <c r="H199" i="20"/>
  <c r="H186" i="22" s="1"/>
  <c r="D186" i="22"/>
  <c r="H163" i="20"/>
  <c r="H150" i="22" s="1"/>
  <c r="D150" i="22"/>
  <c r="H109" i="20"/>
  <c r="H96" i="22" s="1"/>
  <c r="D96" i="22"/>
  <c r="H179" i="20"/>
  <c r="H166" i="22" s="1"/>
  <c r="D166" i="22"/>
  <c r="H198" i="20"/>
  <c r="H185" i="22" s="1"/>
  <c r="D185" i="22"/>
  <c r="H200" i="20"/>
  <c r="H187" i="22" s="1"/>
  <c r="D187" i="22"/>
  <c r="H206" i="20"/>
  <c r="H193" i="22" s="1"/>
  <c r="D193" i="22"/>
  <c r="B158" i="20"/>
  <c r="B145" i="22" s="1"/>
  <c r="C145" i="22"/>
  <c r="B142" i="20"/>
  <c r="B129" i="22" s="1"/>
  <c r="C129" i="22"/>
  <c r="B161" i="20"/>
  <c r="B148" i="22" s="1"/>
  <c r="C148" i="22"/>
  <c r="B169" i="20"/>
  <c r="B156" i="22" s="1"/>
  <c r="C156" i="22"/>
  <c r="B143" i="20"/>
  <c r="B130" i="22" s="1"/>
  <c r="C130" i="22"/>
  <c r="B166" i="20"/>
  <c r="B153" i="22" s="1"/>
  <c r="C153" i="22"/>
  <c r="H171" i="20"/>
  <c r="H158" i="22" s="1"/>
  <c r="D158" i="22"/>
  <c r="H186" i="20"/>
  <c r="H173" i="22" s="1"/>
  <c r="D173" i="22"/>
  <c r="H181" i="20"/>
  <c r="H168" i="22" s="1"/>
  <c r="D168" i="22"/>
  <c r="H177" i="20"/>
  <c r="H164" i="22" s="1"/>
  <c r="D164" i="22"/>
  <c r="D191" i="20"/>
  <c r="C178" i="22"/>
  <c r="H202" i="20"/>
  <c r="H189" i="22" s="1"/>
  <c r="D189" i="22"/>
  <c r="B145" i="20"/>
  <c r="B132" i="22" s="1"/>
  <c r="C132" i="22"/>
  <c r="B160" i="20"/>
  <c r="B147" i="22" s="1"/>
  <c r="C147" i="22"/>
  <c r="B168" i="20"/>
  <c r="B155" i="22" s="1"/>
  <c r="C155" i="22"/>
  <c r="H188" i="20"/>
  <c r="H175" i="22" s="1"/>
  <c r="D175" i="22"/>
  <c r="H184" i="20"/>
  <c r="H171" i="22" s="1"/>
  <c r="D171" i="22"/>
  <c r="H175" i="20"/>
  <c r="H162" i="22" s="1"/>
  <c r="D162" i="22"/>
  <c r="H162" i="20"/>
  <c r="H149" i="22" s="1"/>
  <c r="D149" i="22"/>
  <c r="B144" i="20"/>
  <c r="B131" i="22" s="1"/>
  <c r="C131" i="22"/>
  <c r="B159" i="20"/>
  <c r="B146" i="22" s="1"/>
  <c r="C146" i="22"/>
  <c r="B167" i="20"/>
  <c r="B154" i="22" s="1"/>
  <c r="C154" i="22"/>
  <c r="H108" i="20"/>
  <c r="H95" i="22" s="1"/>
  <c r="D95" i="22"/>
  <c r="H173" i="20"/>
  <c r="H160" i="22" s="1"/>
  <c r="D160" i="22"/>
  <c r="H185" i="20"/>
  <c r="H172" i="22" s="1"/>
  <c r="D172" i="22"/>
  <c r="H180" i="20"/>
  <c r="H167" i="22" s="1"/>
  <c r="D167" i="22"/>
  <c r="H176" i="20"/>
  <c r="H163" i="22" s="1"/>
  <c r="D163" i="22"/>
  <c r="H201" i="20"/>
  <c r="H188" i="22" s="1"/>
  <c r="D188" i="22"/>
  <c r="H204" i="20"/>
  <c r="H191" i="22" s="1"/>
  <c r="D191" i="22"/>
  <c r="H164" i="20"/>
  <c r="H151" i="22" s="1"/>
  <c r="D151" i="22"/>
  <c r="H208" i="20"/>
  <c r="H195" i="22" s="1"/>
  <c r="D195" i="22"/>
  <c r="E167" i="20"/>
  <c r="E154" i="22" s="1"/>
  <c r="E166" i="20"/>
  <c r="E153" i="22" s="1"/>
  <c r="C165" i="20"/>
  <c r="E165" i="20"/>
  <c r="E152" i="22" s="1"/>
  <c r="E160" i="20"/>
  <c r="E147" i="22" s="1"/>
  <c r="E161" i="20"/>
  <c r="E148" i="22" s="1"/>
  <c r="E159" i="20"/>
  <c r="E146" i="22" s="1"/>
  <c r="E158" i="20"/>
  <c r="E145" i="22" s="1"/>
  <c r="E147" i="20"/>
  <c r="E134" i="22" s="1"/>
  <c r="E148" i="20"/>
  <c r="E135" i="22" s="1"/>
  <c r="E149" i="20"/>
  <c r="E136" i="22" s="1"/>
  <c r="E150" i="20"/>
  <c r="E137" i="22" s="1"/>
  <c r="E151" i="20"/>
  <c r="E138" i="22" s="1"/>
  <c r="E152" i="20"/>
  <c r="E139" i="22" s="1"/>
  <c r="E153" i="20"/>
  <c r="E140" i="22" s="1"/>
  <c r="E154" i="20"/>
  <c r="E141" i="22" s="1"/>
  <c r="E155" i="20"/>
  <c r="E142" i="22" s="1"/>
  <c r="E156" i="20"/>
  <c r="E143" i="22" s="1"/>
  <c r="E157" i="20"/>
  <c r="E144" i="22" s="1"/>
  <c r="E146" i="20"/>
  <c r="E133" i="22" s="1"/>
  <c r="C147" i="20"/>
  <c r="C148" i="20"/>
  <c r="C149" i="20"/>
  <c r="C150" i="20"/>
  <c r="C151" i="20"/>
  <c r="C152" i="20"/>
  <c r="C153" i="20"/>
  <c r="C154" i="20"/>
  <c r="C155" i="20"/>
  <c r="C156" i="20"/>
  <c r="C157" i="20"/>
  <c r="C146" i="20"/>
  <c r="E144" i="20"/>
  <c r="E131" i="22" s="1"/>
  <c r="E145" i="20"/>
  <c r="E132" i="22" s="1"/>
  <c r="E143" i="20"/>
  <c r="E130" i="22" s="1"/>
  <c r="E142" i="20"/>
  <c r="E129" i="22" s="1"/>
  <c r="E114" i="20"/>
  <c r="E101" i="22" s="1"/>
  <c r="B157" i="20" l="1"/>
  <c r="B144" i="22" s="1"/>
  <c r="C144" i="22"/>
  <c r="B165" i="20"/>
  <c r="B152" i="22" s="1"/>
  <c r="C152" i="22"/>
  <c r="B156" i="20"/>
  <c r="B143" i="22" s="1"/>
  <c r="C143" i="22"/>
  <c r="B148" i="20"/>
  <c r="B135" i="22" s="1"/>
  <c r="C135" i="22"/>
  <c r="B151" i="20"/>
  <c r="B138" i="22" s="1"/>
  <c r="C138" i="22"/>
  <c r="B153" i="20"/>
  <c r="B140" i="22" s="1"/>
  <c r="C140" i="22"/>
  <c r="B149" i="20"/>
  <c r="B136" i="22" s="1"/>
  <c r="C136" i="22"/>
  <c r="B152" i="20"/>
  <c r="B139" i="22" s="1"/>
  <c r="C139" i="22"/>
  <c r="B155" i="20"/>
  <c r="B142" i="22" s="1"/>
  <c r="C142" i="22"/>
  <c r="B147" i="20"/>
  <c r="B134" i="22" s="1"/>
  <c r="C134" i="22"/>
  <c r="B146" i="20"/>
  <c r="B133" i="22" s="1"/>
  <c r="C133" i="22"/>
  <c r="B154" i="20"/>
  <c r="B141" i="22" s="1"/>
  <c r="C141" i="22"/>
  <c r="B150" i="20"/>
  <c r="B137" i="22" s="1"/>
  <c r="C137" i="22"/>
  <c r="H191" i="20"/>
  <c r="H178" i="22" s="1"/>
  <c r="D178" i="22"/>
  <c r="B135" i="20"/>
  <c r="B134" i="20"/>
  <c r="B129" i="20"/>
  <c r="B128" i="20"/>
  <c r="B127" i="20"/>
  <c r="B126" i="20"/>
  <c r="B113" i="20"/>
  <c r="B112" i="20"/>
  <c r="B111" i="20"/>
  <c r="B110" i="20"/>
  <c r="B109" i="20"/>
  <c r="B96" i="22" s="1"/>
  <c r="B108" i="20"/>
  <c r="B95" i="22" s="1"/>
  <c r="D112" i="20" l="1"/>
  <c r="D99" i="22" s="1"/>
  <c r="B99" i="22"/>
  <c r="D129" i="20"/>
  <c r="D116" i="22" s="1"/>
  <c r="B116" i="22"/>
  <c r="D128" i="20"/>
  <c r="D115" i="22" s="1"/>
  <c r="B115" i="22"/>
  <c r="D113" i="20"/>
  <c r="D100" i="22" s="1"/>
  <c r="B100" i="22"/>
  <c r="D110" i="20"/>
  <c r="D97" i="22" s="1"/>
  <c r="B97" i="22"/>
  <c r="D126" i="20"/>
  <c r="D113" i="22" s="1"/>
  <c r="B113" i="22"/>
  <c r="D134" i="20"/>
  <c r="D121" i="22" s="1"/>
  <c r="B121" i="22"/>
  <c r="D111" i="20"/>
  <c r="D98" i="22" s="1"/>
  <c r="B98" i="22"/>
  <c r="D127" i="20"/>
  <c r="D114" i="22" s="1"/>
  <c r="B114" i="22"/>
  <c r="D135" i="20"/>
  <c r="D122" i="22" s="1"/>
  <c r="B122" i="22"/>
  <c r="D144" i="20"/>
  <c r="E135" i="20"/>
  <c r="E122" i="22" s="1"/>
  <c r="E134" i="20"/>
  <c r="E121" i="22" s="1"/>
  <c r="E127" i="20"/>
  <c r="E114" i="22" s="1"/>
  <c r="E128" i="20"/>
  <c r="E115" i="22" s="1"/>
  <c r="E129" i="20"/>
  <c r="E116" i="22" s="1"/>
  <c r="E133" i="20"/>
  <c r="E120" i="22" s="1"/>
  <c r="D140" i="20"/>
  <c r="E140" i="20"/>
  <c r="E127" i="22" s="1"/>
  <c r="E126" i="20"/>
  <c r="E113" i="22" s="1"/>
  <c r="E109" i="20"/>
  <c r="E96" i="22" s="1"/>
  <c r="D141" i="20"/>
  <c r="E141" i="20"/>
  <c r="E128" i="22" s="1"/>
  <c r="E108" i="20"/>
  <c r="E95" i="22" s="1"/>
  <c r="E139" i="20"/>
  <c r="E126" i="22" s="1"/>
  <c r="D139" i="20"/>
  <c r="E116" i="20"/>
  <c r="E103" i="22" s="1"/>
  <c r="E117" i="20"/>
  <c r="E104" i="22" s="1"/>
  <c r="E118" i="20"/>
  <c r="E105" i="22" s="1"/>
  <c r="E119" i="20"/>
  <c r="E106" i="22" s="1"/>
  <c r="E120" i="20"/>
  <c r="E107" i="22" s="1"/>
  <c r="E121" i="20"/>
  <c r="E108" i="22" s="1"/>
  <c r="E122" i="20"/>
  <c r="E109" i="22" s="1"/>
  <c r="E123" i="20"/>
  <c r="E110" i="22" s="1"/>
  <c r="E124" i="20"/>
  <c r="E111" i="22" s="1"/>
  <c r="E125" i="20"/>
  <c r="E112" i="22" s="1"/>
  <c r="E115" i="20"/>
  <c r="E102" i="22" s="1"/>
  <c r="E111" i="20"/>
  <c r="E98" i="22" s="1"/>
  <c r="E112" i="20"/>
  <c r="E99" i="22" s="1"/>
  <c r="E113" i="20"/>
  <c r="E100" i="22" s="1"/>
  <c r="E110" i="20"/>
  <c r="E97" i="22" s="1"/>
  <c r="E137" i="20"/>
  <c r="E124" i="22" s="1"/>
  <c r="E136" i="20"/>
  <c r="E123" i="22" s="1"/>
  <c r="C137" i="20"/>
  <c r="C136" i="20"/>
  <c r="C133" i="20"/>
  <c r="C115" i="20"/>
  <c r="C116" i="20"/>
  <c r="C117" i="20"/>
  <c r="C118" i="20"/>
  <c r="C119" i="20"/>
  <c r="C120" i="20"/>
  <c r="C121" i="20"/>
  <c r="C122" i="20"/>
  <c r="C123" i="20"/>
  <c r="C124" i="20"/>
  <c r="C125" i="20"/>
  <c r="C114" i="20"/>
  <c r="D95" i="20"/>
  <c r="B105" i="20"/>
  <c r="B92" i="22" s="1"/>
  <c r="B104" i="20"/>
  <c r="B91" i="22" s="1"/>
  <c r="B103" i="20"/>
  <c r="B90" i="22" s="1"/>
  <c r="D106" i="20"/>
  <c r="D104" i="20"/>
  <c r="D105" i="20"/>
  <c r="D103" i="20"/>
  <c r="E104" i="20"/>
  <c r="E91" i="22" s="1"/>
  <c r="E105" i="20"/>
  <c r="E92" i="22" s="1"/>
  <c r="E103" i="20"/>
  <c r="E90" i="22" s="1"/>
  <c r="C106" i="20"/>
  <c r="D100" i="20"/>
  <c r="D101" i="20"/>
  <c r="D99" i="20"/>
  <c r="D98" i="20"/>
  <c r="D97" i="20"/>
  <c r="D96" i="20"/>
  <c r="D94" i="20"/>
  <c r="B91" i="20"/>
  <c r="B78" i="22" s="1"/>
  <c r="B90" i="20"/>
  <c r="B77" i="22" s="1"/>
  <c r="B89" i="20"/>
  <c r="B76" i="22" s="1"/>
  <c r="B88" i="20"/>
  <c r="B75" i="22" s="1"/>
  <c r="B87" i="20"/>
  <c r="B74" i="22" s="1"/>
  <c r="D90" i="20"/>
  <c r="D89" i="20"/>
  <c r="D88" i="20"/>
  <c r="D92" i="20"/>
  <c r="D91" i="20"/>
  <c r="D87" i="20"/>
  <c r="D82" i="20"/>
  <c r="D83" i="20"/>
  <c r="D81" i="20"/>
  <c r="D80" i="20"/>
  <c r="D77" i="20"/>
  <c r="D72" i="20"/>
  <c r="D73" i="20"/>
  <c r="D74" i="20"/>
  <c r="D75" i="20"/>
  <c r="D76" i="20"/>
  <c r="D70" i="20"/>
  <c r="D71" i="20"/>
  <c r="D69" i="20"/>
  <c r="D68" i="20"/>
  <c r="D67" i="20"/>
  <c r="D66" i="20"/>
  <c r="D65" i="20"/>
  <c r="D64" i="20"/>
  <c r="D63" i="20"/>
  <c r="H128" i="20" l="1"/>
  <c r="H115" i="22" s="1"/>
  <c r="H110" i="20"/>
  <c r="H97" i="22" s="1"/>
  <c r="D142" i="20"/>
  <c r="H127" i="20"/>
  <c r="H114" i="22" s="1"/>
  <c r="H134" i="20"/>
  <c r="H121" i="22" s="1"/>
  <c r="D166" i="20"/>
  <c r="D153" i="22" s="1"/>
  <c r="D145" i="20"/>
  <c r="H145" i="20" s="1"/>
  <c r="H132" i="22" s="1"/>
  <c r="D159" i="20"/>
  <c r="D146" i="22" s="1"/>
  <c r="D160" i="20"/>
  <c r="H160" i="20" s="1"/>
  <c r="H147" i="22" s="1"/>
  <c r="H112" i="20"/>
  <c r="H99" i="22" s="1"/>
  <c r="D158" i="20"/>
  <c r="H158" i="20" s="1"/>
  <c r="H145" i="22" s="1"/>
  <c r="H113" i="20"/>
  <c r="H100" i="22" s="1"/>
  <c r="H135" i="20"/>
  <c r="H122" i="22" s="1"/>
  <c r="H111" i="20"/>
  <c r="H98" i="22" s="1"/>
  <c r="D167" i="20"/>
  <c r="H167" i="20" s="1"/>
  <c r="H154" i="22" s="1"/>
  <c r="D143" i="20"/>
  <c r="D130" i="22" s="1"/>
  <c r="D161" i="20"/>
  <c r="D148" i="22" s="1"/>
  <c r="H126" i="20"/>
  <c r="H113" i="22" s="1"/>
  <c r="H129" i="20"/>
  <c r="H116" i="22" s="1"/>
  <c r="H63" i="20"/>
  <c r="H50" i="22" s="1"/>
  <c r="D50" i="22"/>
  <c r="H70" i="20"/>
  <c r="H57" i="22" s="1"/>
  <c r="D57" i="22"/>
  <c r="H81" i="20"/>
  <c r="H68" i="22" s="1"/>
  <c r="D68" i="22"/>
  <c r="H97" i="20"/>
  <c r="H84" i="22" s="1"/>
  <c r="D84" i="22"/>
  <c r="H95" i="20"/>
  <c r="H82" i="22" s="1"/>
  <c r="D82" i="22"/>
  <c r="H64" i="20"/>
  <c r="H51" i="22" s="1"/>
  <c r="D51" i="22"/>
  <c r="H76" i="20"/>
  <c r="H63" i="22" s="1"/>
  <c r="D63" i="22"/>
  <c r="H83" i="20"/>
  <c r="H70" i="22" s="1"/>
  <c r="D70" i="22"/>
  <c r="H92" i="20"/>
  <c r="H79" i="22" s="1"/>
  <c r="D79" i="22"/>
  <c r="H98" i="20"/>
  <c r="H85" i="22" s="1"/>
  <c r="D85" i="22"/>
  <c r="B106" i="20"/>
  <c r="B93" i="22" s="1"/>
  <c r="C93" i="22"/>
  <c r="H103" i="20"/>
  <c r="H90" i="22" s="1"/>
  <c r="D90" i="22"/>
  <c r="B114" i="20"/>
  <c r="C101" i="22"/>
  <c r="B122" i="20"/>
  <c r="C109" i="22"/>
  <c r="B118" i="20"/>
  <c r="C105" i="22"/>
  <c r="B133" i="20"/>
  <c r="C120" i="22"/>
  <c r="H139" i="20"/>
  <c r="H126" i="22" s="1"/>
  <c r="D126" i="22"/>
  <c r="H141" i="20"/>
  <c r="H128" i="22" s="1"/>
  <c r="D128" i="22"/>
  <c r="H140" i="20"/>
  <c r="H127" i="22" s="1"/>
  <c r="D127" i="22"/>
  <c r="H142" i="20"/>
  <c r="H129" i="22" s="1"/>
  <c r="D129" i="22"/>
  <c r="H100" i="20"/>
  <c r="H87" i="22" s="1"/>
  <c r="D87" i="22"/>
  <c r="H106" i="20"/>
  <c r="H93" i="22" s="1"/>
  <c r="D93" i="22"/>
  <c r="B119" i="20"/>
  <c r="C106" i="22"/>
  <c r="H65" i="20"/>
  <c r="H52" i="22" s="1"/>
  <c r="D52" i="22"/>
  <c r="H69" i="20"/>
  <c r="H56" i="22" s="1"/>
  <c r="D56" i="22"/>
  <c r="H75" i="20"/>
  <c r="H62" i="22" s="1"/>
  <c r="D62" i="22"/>
  <c r="H77" i="20"/>
  <c r="H64" i="22" s="1"/>
  <c r="D64" i="22"/>
  <c r="H82" i="20"/>
  <c r="H69" i="22" s="1"/>
  <c r="D69" i="22"/>
  <c r="H88" i="20"/>
  <c r="H75" i="22" s="1"/>
  <c r="D75" i="22"/>
  <c r="H94" i="20"/>
  <c r="H81" i="22" s="1"/>
  <c r="D81" i="22"/>
  <c r="H99" i="20"/>
  <c r="H86" i="22" s="1"/>
  <c r="D86" i="22"/>
  <c r="H105" i="20"/>
  <c r="H92" i="22" s="1"/>
  <c r="D92" i="22"/>
  <c r="B125" i="20"/>
  <c r="C112" i="22"/>
  <c r="B121" i="20"/>
  <c r="C108" i="22"/>
  <c r="B117" i="20"/>
  <c r="C104" i="22"/>
  <c r="B136" i="20"/>
  <c r="C123" i="22"/>
  <c r="H67" i="20"/>
  <c r="H54" i="22" s="1"/>
  <c r="D54" i="22"/>
  <c r="H73" i="20"/>
  <c r="H60" i="22" s="1"/>
  <c r="D60" i="22"/>
  <c r="H91" i="20"/>
  <c r="H78" i="22" s="1"/>
  <c r="D78" i="22"/>
  <c r="H90" i="20"/>
  <c r="H77" i="22" s="1"/>
  <c r="D77" i="22"/>
  <c r="B123" i="20"/>
  <c r="C110" i="22"/>
  <c r="B115" i="20"/>
  <c r="C102" i="22"/>
  <c r="H68" i="20"/>
  <c r="H55" i="22" s="1"/>
  <c r="D55" i="22"/>
  <c r="H72" i="20"/>
  <c r="H59" i="22" s="1"/>
  <c r="D59" i="22"/>
  <c r="H66" i="20"/>
  <c r="H53" i="22" s="1"/>
  <c r="D53" i="22"/>
  <c r="H71" i="20"/>
  <c r="H58" i="22" s="1"/>
  <c r="D58" i="22"/>
  <c r="H74" i="20"/>
  <c r="H61" i="22" s="1"/>
  <c r="D61" i="22"/>
  <c r="H80" i="20"/>
  <c r="H67" i="22" s="1"/>
  <c r="D67" i="22"/>
  <c r="H87" i="20"/>
  <c r="H74" i="22" s="1"/>
  <c r="D74" i="22"/>
  <c r="H89" i="20"/>
  <c r="H76" i="22" s="1"/>
  <c r="D76" i="22"/>
  <c r="H96" i="20"/>
  <c r="H83" i="22" s="1"/>
  <c r="D83" i="22"/>
  <c r="H101" i="20"/>
  <c r="H88" i="22" s="1"/>
  <c r="D88" i="22"/>
  <c r="H104" i="20"/>
  <c r="H91" i="22" s="1"/>
  <c r="D91" i="22"/>
  <c r="B124" i="20"/>
  <c r="C111" i="22"/>
  <c r="B120" i="20"/>
  <c r="C107" i="22"/>
  <c r="B116" i="20"/>
  <c r="C103" i="22"/>
  <c r="B137" i="20"/>
  <c r="C124" i="22"/>
  <c r="H144" i="20"/>
  <c r="H131" i="22" s="1"/>
  <c r="D131" i="22"/>
  <c r="B62" i="20"/>
  <c r="B49" i="22" s="1"/>
  <c r="B61" i="20"/>
  <c r="B48" i="22" s="1"/>
  <c r="B60" i="20"/>
  <c r="B47" i="22" s="1"/>
  <c r="B59" i="20"/>
  <c r="B46" i="22" s="1"/>
  <c r="B58" i="20"/>
  <c r="B45" i="22" s="1"/>
  <c r="B57" i="20"/>
  <c r="B44" i="22" s="1"/>
  <c r="B56" i="20"/>
  <c r="B43" i="22" s="1"/>
  <c r="B55" i="20"/>
  <c r="B42" i="22" s="1"/>
  <c r="B54" i="20"/>
  <c r="B41" i="22" s="1"/>
  <c r="B53" i="20"/>
  <c r="B40" i="22" s="1"/>
  <c r="B52" i="20"/>
  <c r="B39" i="22" s="1"/>
  <c r="B51" i="20"/>
  <c r="B38" i="22" s="1"/>
  <c r="B50" i="20"/>
  <c r="B37" i="22" s="1"/>
  <c r="B49" i="20"/>
  <c r="B36" i="22" s="1"/>
  <c r="B48" i="20"/>
  <c r="B35" i="22" s="1"/>
  <c r="B47" i="20"/>
  <c r="B34" i="22" s="1"/>
  <c r="B46" i="20"/>
  <c r="B33" i="22" s="1"/>
  <c r="B45" i="20"/>
  <c r="B32" i="22" s="1"/>
  <c r="B44" i="20"/>
  <c r="B31" i="22" s="1"/>
  <c r="B43" i="20"/>
  <c r="B30" i="22" s="1"/>
  <c r="B42" i="20"/>
  <c r="B29" i="22" s="1"/>
  <c r="B41" i="20"/>
  <c r="B28" i="22" s="1"/>
  <c r="B40" i="20"/>
  <c r="B27" i="22" s="1"/>
  <c r="B39" i="20"/>
  <c r="B26" i="22" s="1"/>
  <c r="B38" i="20"/>
  <c r="B25" i="22" s="1"/>
  <c r="B37" i="20"/>
  <c r="B24" i="22" s="1"/>
  <c r="B36" i="20"/>
  <c r="B23" i="22" s="1"/>
  <c r="B35" i="20"/>
  <c r="B22" i="22" s="1"/>
  <c r="B34" i="20"/>
  <c r="B21" i="22" s="1"/>
  <c r="B33" i="20"/>
  <c r="B20" i="22" s="1"/>
  <c r="B32" i="20"/>
  <c r="B19" i="22" s="1"/>
  <c r="B31" i="20"/>
  <c r="B18" i="22" s="1"/>
  <c r="B30" i="20"/>
  <c r="B17" i="22" s="1"/>
  <c r="B29" i="20"/>
  <c r="B16" i="22" s="1"/>
  <c r="B28" i="20"/>
  <c r="B15" i="22" s="1"/>
  <c r="B27" i="20"/>
  <c r="B14" i="22" s="1"/>
  <c r="B26" i="20"/>
  <c r="B13" i="22" s="1"/>
  <c r="B25" i="20"/>
  <c r="B12" i="22" s="1"/>
  <c r="B24" i="20"/>
  <c r="B11" i="22" s="1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2" i="20"/>
  <c r="E22" i="20"/>
  <c r="E9" i="22" s="1"/>
  <c r="C22" i="20"/>
  <c r="C9" i="22" s="1"/>
  <c r="C78" i="20"/>
  <c r="C65" i="22" s="1"/>
  <c r="D19" i="20"/>
  <c r="H18" i="20"/>
  <c r="C19" i="20"/>
  <c r="C6" i="22" s="1"/>
  <c r="H225" i="20"/>
  <c r="H212" i="22" s="1"/>
  <c r="H223" i="20"/>
  <c r="H210" i="22" s="1"/>
  <c r="H222" i="20"/>
  <c r="H209" i="22" s="1"/>
  <c r="H221" i="20"/>
  <c r="H208" i="22" s="1"/>
  <c r="H159" i="20" l="1"/>
  <c r="H146" i="22" s="1"/>
  <c r="D147" i="22"/>
  <c r="H161" i="20"/>
  <c r="H148" i="22" s="1"/>
  <c r="H166" i="20"/>
  <c r="H153" i="22" s="1"/>
  <c r="D132" i="22"/>
  <c r="D145" i="22"/>
  <c r="D154" i="22"/>
  <c r="H143" i="20"/>
  <c r="H130" i="22" s="1"/>
  <c r="H24" i="20"/>
  <c r="H11" i="22" s="1"/>
  <c r="D11" i="22"/>
  <c r="H32" i="20"/>
  <c r="H19" i="22" s="1"/>
  <c r="D19" i="22"/>
  <c r="H40" i="20"/>
  <c r="H27" i="22" s="1"/>
  <c r="D27" i="22"/>
  <c r="H44" i="20"/>
  <c r="H31" i="22" s="1"/>
  <c r="D31" i="22"/>
  <c r="H52" i="20"/>
  <c r="H39" i="22" s="1"/>
  <c r="D39" i="22"/>
  <c r="H56" i="20"/>
  <c r="H43" i="22" s="1"/>
  <c r="D43" i="22"/>
  <c r="H37" i="20"/>
  <c r="H24" i="22" s="1"/>
  <c r="D24" i="22"/>
  <c r="D116" i="20"/>
  <c r="B103" i="22"/>
  <c r="D124" i="20"/>
  <c r="B111" i="22"/>
  <c r="D115" i="20"/>
  <c r="B102" i="22"/>
  <c r="D136" i="20"/>
  <c r="B123" i="22"/>
  <c r="D121" i="20"/>
  <c r="B108" i="22"/>
  <c r="D133" i="20"/>
  <c r="B120" i="22"/>
  <c r="D122" i="20"/>
  <c r="B109" i="22"/>
  <c r="H25" i="20"/>
  <c r="H12" i="22" s="1"/>
  <c r="D12" i="22"/>
  <c r="H29" i="20"/>
  <c r="H16" i="22" s="1"/>
  <c r="D16" i="22"/>
  <c r="H33" i="20"/>
  <c r="H20" i="22" s="1"/>
  <c r="D20" i="22"/>
  <c r="H41" i="20"/>
  <c r="H28" i="22" s="1"/>
  <c r="D28" i="22"/>
  <c r="H45" i="20"/>
  <c r="H32" i="22" s="1"/>
  <c r="D32" i="22"/>
  <c r="H49" i="20"/>
  <c r="H36" i="22" s="1"/>
  <c r="D36" i="22"/>
  <c r="H53" i="20"/>
  <c r="H40" i="22" s="1"/>
  <c r="D40" i="22"/>
  <c r="H57" i="20"/>
  <c r="H44" i="22" s="1"/>
  <c r="D44" i="22"/>
  <c r="H61" i="20"/>
  <c r="H48" i="22" s="1"/>
  <c r="D48" i="22"/>
  <c r="H5" i="22"/>
  <c r="H26" i="20"/>
  <c r="H13" i="22" s="1"/>
  <c r="D13" i="22"/>
  <c r="H30" i="20"/>
  <c r="H17" i="22" s="1"/>
  <c r="D17" i="22"/>
  <c r="H34" i="20"/>
  <c r="H21" i="22" s="1"/>
  <c r="D21" i="22"/>
  <c r="H38" i="20"/>
  <c r="H25" i="22" s="1"/>
  <c r="D25" i="22"/>
  <c r="H42" i="20"/>
  <c r="H29" i="22" s="1"/>
  <c r="D29" i="22"/>
  <c r="H46" i="20"/>
  <c r="H33" i="22" s="1"/>
  <c r="D33" i="22"/>
  <c r="H50" i="20"/>
  <c r="H37" i="22" s="1"/>
  <c r="D37" i="22"/>
  <c r="H54" i="20"/>
  <c r="H41" i="22" s="1"/>
  <c r="D41" i="22"/>
  <c r="H58" i="20"/>
  <c r="H45" i="22" s="1"/>
  <c r="D45" i="22"/>
  <c r="H62" i="20"/>
  <c r="H49" i="22" s="1"/>
  <c r="D49" i="22"/>
  <c r="H28" i="20"/>
  <c r="H15" i="22" s="1"/>
  <c r="D15" i="22"/>
  <c r="H36" i="20"/>
  <c r="H23" i="22" s="1"/>
  <c r="D23" i="22"/>
  <c r="H48" i="20"/>
  <c r="H35" i="22" s="1"/>
  <c r="D35" i="22"/>
  <c r="H60" i="20"/>
  <c r="H47" i="22" s="1"/>
  <c r="D47" i="22"/>
  <c r="H19" i="20"/>
  <c r="H6" i="22" s="1"/>
  <c r="D6" i="22"/>
  <c r="H22" i="20"/>
  <c r="H9" i="22" s="1"/>
  <c r="D9" i="22"/>
  <c r="H27" i="20"/>
  <c r="H14" i="22" s="1"/>
  <c r="D14" i="22"/>
  <c r="H31" i="20"/>
  <c r="H18" i="22" s="1"/>
  <c r="D18" i="22"/>
  <c r="H35" i="20"/>
  <c r="H22" i="22" s="1"/>
  <c r="D22" i="22"/>
  <c r="H39" i="20"/>
  <c r="H26" i="22" s="1"/>
  <c r="D26" i="22"/>
  <c r="H43" i="20"/>
  <c r="H30" i="22" s="1"/>
  <c r="D30" i="22"/>
  <c r="H47" i="20"/>
  <c r="H34" i="22" s="1"/>
  <c r="D34" i="22"/>
  <c r="H51" i="20"/>
  <c r="H38" i="22" s="1"/>
  <c r="D38" i="22"/>
  <c r="H55" i="20"/>
  <c r="H42" i="22" s="1"/>
  <c r="D42" i="22"/>
  <c r="H59" i="20"/>
  <c r="H46" i="22" s="1"/>
  <c r="D46" i="22"/>
  <c r="D137" i="20"/>
  <c r="B124" i="22"/>
  <c r="D120" i="20"/>
  <c r="B107" i="22"/>
  <c r="D123" i="20"/>
  <c r="B110" i="22"/>
  <c r="D117" i="20"/>
  <c r="B104" i="22"/>
  <c r="D125" i="20"/>
  <c r="B112" i="22"/>
  <c r="D119" i="20"/>
  <c r="B106" i="22"/>
  <c r="D118" i="20"/>
  <c r="B105" i="22"/>
  <c r="D114" i="20"/>
  <c r="B101" i="22"/>
  <c r="H20" i="20"/>
  <c r="H7" i="22" s="1"/>
  <c r="D105" i="22" l="1"/>
  <c r="H118" i="20"/>
  <c r="H105" i="22" s="1"/>
  <c r="D150" i="20"/>
  <c r="D112" i="22"/>
  <c r="D157" i="20"/>
  <c r="H125" i="20"/>
  <c r="H112" i="22" s="1"/>
  <c r="D124" i="22"/>
  <c r="H137" i="20"/>
  <c r="H124" i="22" s="1"/>
  <c r="D169" i="20"/>
  <c r="D109" i="22"/>
  <c r="D154" i="20"/>
  <c r="H122" i="20"/>
  <c r="H109" i="22" s="1"/>
  <c r="D108" i="22"/>
  <c r="D153" i="20"/>
  <c r="H121" i="20"/>
  <c r="H108" i="22" s="1"/>
  <c r="D102" i="22"/>
  <c r="D147" i="20"/>
  <c r="H115" i="20"/>
  <c r="H102" i="22" s="1"/>
  <c r="D103" i="22"/>
  <c r="D148" i="20"/>
  <c r="H116" i="20"/>
  <c r="H103" i="22" s="1"/>
  <c r="D110" i="22"/>
  <c r="D155" i="20"/>
  <c r="H123" i="20"/>
  <c r="H110" i="22" s="1"/>
  <c r="D101" i="22"/>
  <c r="H114" i="20"/>
  <c r="D146" i="20"/>
  <c r="D106" i="22"/>
  <c r="D151" i="20"/>
  <c r="H119" i="20"/>
  <c r="H106" i="22" s="1"/>
  <c r="D104" i="22"/>
  <c r="D149" i="20"/>
  <c r="H117" i="20"/>
  <c r="H104" i="22" s="1"/>
  <c r="D107" i="22"/>
  <c r="D152" i="20"/>
  <c r="H120" i="20"/>
  <c r="H107" i="22" s="1"/>
  <c r="D120" i="22"/>
  <c r="D165" i="20"/>
  <c r="H133" i="20"/>
  <c r="H120" i="22" s="1"/>
  <c r="D123" i="22"/>
  <c r="H136" i="20"/>
  <c r="H123" i="22" s="1"/>
  <c r="D168" i="20"/>
  <c r="D111" i="22"/>
  <c r="D156" i="20"/>
  <c r="H124" i="20"/>
  <c r="H111" i="22" s="1"/>
  <c r="B17" i="5"/>
  <c r="B16" i="5"/>
  <c r="G16" i="5" s="1"/>
  <c r="B225" i="5"/>
  <c r="G225" i="5" s="1"/>
  <c r="B224" i="5"/>
  <c r="G224" i="5" s="1"/>
  <c r="B18" i="5" l="1"/>
  <c r="B25" i="14" s="1"/>
  <c r="G17" i="5"/>
  <c r="H156" i="20"/>
  <c r="H143" i="22" s="1"/>
  <c r="D143" i="22"/>
  <c r="H148" i="20"/>
  <c r="H135" i="22" s="1"/>
  <c r="D135" i="22"/>
  <c r="H152" i="20"/>
  <c r="H139" i="22" s="1"/>
  <c r="D139" i="22"/>
  <c r="H146" i="20"/>
  <c r="H133" i="22" s="1"/>
  <c r="D133" i="22"/>
  <c r="H155" i="20"/>
  <c r="H142" i="22" s="1"/>
  <c r="D142" i="22"/>
  <c r="H154" i="20"/>
  <c r="H141" i="22" s="1"/>
  <c r="D141" i="22"/>
  <c r="H150" i="20"/>
  <c r="H137" i="22" s="1"/>
  <c r="D137" i="22"/>
  <c r="H149" i="20"/>
  <c r="H136" i="22" s="1"/>
  <c r="D136" i="22"/>
  <c r="H168" i="20"/>
  <c r="H155" i="22" s="1"/>
  <c r="D155" i="22"/>
  <c r="H101" i="22"/>
  <c r="H153" i="20"/>
  <c r="H140" i="22" s="1"/>
  <c r="D140" i="22"/>
  <c r="H165" i="20"/>
  <c r="H152" i="22" s="1"/>
  <c r="D152" i="22"/>
  <c r="H151" i="20"/>
  <c r="H138" i="22" s="1"/>
  <c r="D138" i="22"/>
  <c r="H147" i="20"/>
  <c r="H134" i="22" s="1"/>
  <c r="D134" i="22"/>
  <c r="H169" i="20"/>
  <c r="H156" i="22" s="1"/>
  <c r="D156" i="22"/>
  <c r="H157" i="20"/>
  <c r="H144" i="22" s="1"/>
  <c r="D144" i="22"/>
  <c r="B206" i="5"/>
  <c r="G206" i="5" s="1"/>
  <c r="C256" i="14"/>
  <c r="C257" i="14"/>
  <c r="C258" i="14"/>
  <c r="B256" i="14"/>
  <c r="B257" i="14"/>
  <c r="A256" i="14"/>
  <c r="A257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61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61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61" i="14"/>
  <c r="B178" i="5"/>
  <c r="B177" i="5"/>
  <c r="G177" i="5" s="1"/>
  <c r="B194" i="5"/>
  <c r="G194" i="5" s="1"/>
  <c r="G178" i="5" l="1"/>
  <c r="G179" i="5"/>
  <c r="B207" i="5"/>
  <c r="G207" i="5" s="1"/>
  <c r="C22" i="14"/>
  <c r="C23" i="14"/>
  <c r="C24" i="14"/>
  <c r="C19" i="14"/>
  <c r="B22" i="14"/>
  <c r="A22" i="14"/>
  <c r="A23" i="14"/>
  <c r="A24" i="14"/>
  <c r="B24" i="14"/>
  <c r="B23" i="14"/>
  <c r="C225" i="14" l="1"/>
  <c r="C226" i="14"/>
  <c r="C227" i="14"/>
  <c r="C228" i="14"/>
  <c r="C229" i="14"/>
  <c r="C230" i="14"/>
  <c r="C231" i="14"/>
  <c r="C232" i="14"/>
  <c r="B225" i="14"/>
  <c r="B226" i="14"/>
  <c r="B227" i="14"/>
  <c r="B228" i="14"/>
  <c r="B230" i="14"/>
  <c r="A225" i="14"/>
  <c r="A226" i="14"/>
  <c r="A227" i="14"/>
  <c r="A228" i="14"/>
  <c r="A229" i="14"/>
  <c r="A230" i="14"/>
  <c r="A231" i="14"/>
  <c r="A232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C108" i="14"/>
  <c r="C109" i="14"/>
  <c r="C110" i="14"/>
  <c r="B108" i="14"/>
  <c r="B109" i="14"/>
  <c r="B110" i="14"/>
  <c r="A108" i="14"/>
  <c r="A109" i="14"/>
  <c r="A110" i="14"/>
  <c r="G185" i="5"/>
  <c r="G182" i="5"/>
  <c r="G222" i="5" l="1"/>
  <c r="B229" i="14" l="1"/>
  <c r="D308" i="14"/>
  <c r="E308" i="14"/>
  <c r="F308" i="14"/>
  <c r="G308" i="14"/>
  <c r="D307" i="14"/>
  <c r="E307" i="14"/>
  <c r="F307" i="14"/>
  <c r="G307" i="14"/>
  <c r="C14" i="14"/>
  <c r="C15" i="14"/>
  <c r="C16" i="14"/>
  <c r="C17" i="14"/>
  <c r="C18" i="14"/>
  <c r="C20" i="14"/>
  <c r="C21" i="14"/>
  <c r="C26" i="14"/>
  <c r="C27" i="14"/>
  <c r="C28" i="14"/>
  <c r="C29" i="14"/>
  <c r="C30" i="14"/>
  <c r="C32" i="14"/>
  <c r="C33" i="14"/>
  <c r="C34" i="14"/>
  <c r="C35" i="14"/>
  <c r="C36" i="14"/>
  <c r="C37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7" i="14"/>
  <c r="C98" i="14"/>
  <c r="C99" i="14"/>
  <c r="C100" i="14"/>
  <c r="C106" i="14"/>
  <c r="C111" i="14"/>
  <c r="C112" i="14"/>
  <c r="C113" i="14"/>
  <c r="C115" i="14"/>
  <c r="C116" i="14"/>
  <c r="C117" i="14"/>
  <c r="C118" i="14"/>
  <c r="C119" i="14"/>
  <c r="C120" i="14"/>
  <c r="C121" i="14"/>
  <c r="C122" i="14"/>
  <c r="C123" i="14"/>
  <c r="C125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5" i="14"/>
  <c r="C176" i="14"/>
  <c r="C177" i="14"/>
  <c r="C178" i="14"/>
  <c r="C179" i="14"/>
  <c r="C180" i="14"/>
  <c r="C181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8" i="14"/>
  <c r="C219" i="14"/>
  <c r="C220" i="14"/>
  <c r="C221" i="14"/>
  <c r="C222" i="14"/>
  <c r="C223" i="14"/>
  <c r="C224" i="14"/>
  <c r="C234" i="14"/>
  <c r="C235" i="14"/>
  <c r="C236" i="14"/>
  <c r="C237" i="14"/>
  <c r="C238" i="14"/>
  <c r="C239" i="14"/>
  <c r="C240" i="14"/>
  <c r="C241" i="14"/>
  <c r="C242" i="14"/>
  <c r="C243" i="14"/>
  <c r="C245" i="14"/>
  <c r="C247" i="14"/>
  <c r="C248" i="14"/>
  <c r="C249" i="14"/>
  <c r="C250" i="14"/>
  <c r="C251" i="14"/>
  <c r="C252" i="14"/>
  <c r="C253" i="14"/>
  <c r="C254" i="14"/>
  <c r="C255" i="14"/>
  <c r="C259" i="14"/>
  <c r="C260" i="14"/>
  <c r="C262" i="14"/>
  <c r="C263" i="14"/>
  <c r="C264" i="14"/>
  <c r="C265" i="14"/>
  <c r="C266" i="14"/>
  <c r="C267" i="14"/>
  <c r="C268" i="14"/>
  <c r="C269" i="14"/>
  <c r="C270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6" i="14"/>
  <c r="C297" i="14"/>
  <c r="C298" i="14"/>
  <c r="C299" i="14"/>
  <c r="C300" i="14"/>
  <c r="C301" i="14"/>
  <c r="C302" i="14"/>
  <c r="C303" i="14"/>
  <c r="C304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B14" i="14"/>
  <c r="B15" i="14"/>
  <c r="B16" i="14"/>
  <c r="B18" i="14"/>
  <c r="B19" i="14"/>
  <c r="B26" i="14"/>
  <c r="B27" i="14"/>
  <c r="B28" i="14"/>
  <c r="B29" i="14"/>
  <c r="B30" i="14"/>
  <c r="B3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7" i="14"/>
  <c r="B98" i="14"/>
  <c r="B99" i="14"/>
  <c r="B100" i="14"/>
  <c r="B106" i="14"/>
  <c r="B111" i="14"/>
  <c r="B112" i="14"/>
  <c r="B113" i="14"/>
  <c r="B115" i="14"/>
  <c r="B116" i="14"/>
  <c r="B117" i="14"/>
  <c r="B118" i="14"/>
  <c r="B119" i="14"/>
  <c r="B120" i="14"/>
  <c r="B121" i="14"/>
  <c r="B122" i="14"/>
  <c r="B123" i="14"/>
  <c r="B125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5" i="14"/>
  <c r="B176" i="14"/>
  <c r="B177" i="14"/>
  <c r="B178" i="14"/>
  <c r="B179" i="14"/>
  <c r="B180" i="14"/>
  <c r="B181" i="14"/>
  <c r="B183" i="14"/>
  <c r="B186" i="14"/>
  <c r="B189" i="14"/>
  <c r="B192" i="14"/>
  <c r="B193" i="14"/>
  <c r="B194" i="14"/>
  <c r="B199" i="14"/>
  <c r="B200" i="14"/>
  <c r="B204" i="14"/>
  <c r="B205" i="14"/>
  <c r="B206" i="14"/>
  <c r="B207" i="14"/>
  <c r="B208" i="14"/>
  <c r="B209" i="14"/>
  <c r="B210" i="14"/>
  <c r="B211" i="14"/>
  <c r="B212" i="14"/>
  <c r="B215" i="14"/>
  <c r="B218" i="14"/>
  <c r="B219" i="14"/>
  <c r="B220" i="14"/>
  <c r="B221" i="14"/>
  <c r="B222" i="14"/>
  <c r="B223" i="14"/>
  <c r="B224" i="14"/>
  <c r="B234" i="14"/>
  <c r="B235" i="14"/>
  <c r="B236" i="14"/>
  <c r="B237" i="14"/>
  <c r="B238" i="14"/>
  <c r="B239" i="14"/>
  <c r="B240" i="14"/>
  <c r="B241" i="14"/>
  <c r="B242" i="14"/>
  <c r="B243" i="14"/>
  <c r="B245" i="14"/>
  <c r="B247" i="14"/>
  <c r="B248" i="14"/>
  <c r="B249" i="14"/>
  <c r="B250" i="14"/>
  <c r="B251" i="14"/>
  <c r="B252" i="14"/>
  <c r="B253" i="14"/>
  <c r="B254" i="14"/>
  <c r="B255" i="14"/>
  <c r="B258" i="14"/>
  <c r="B259" i="14"/>
  <c r="B260" i="14"/>
  <c r="B262" i="14"/>
  <c r="B263" i="14"/>
  <c r="B264" i="14"/>
  <c r="B265" i="14"/>
  <c r="B266" i="14"/>
  <c r="B267" i="14"/>
  <c r="B268" i="14"/>
  <c r="B269" i="14"/>
  <c r="B270" i="14"/>
  <c r="B272" i="14"/>
  <c r="B273" i="14"/>
  <c r="B274" i="14"/>
  <c r="B275" i="14"/>
  <c r="B276" i="14"/>
  <c r="B277" i="14"/>
  <c r="B278" i="14"/>
  <c r="B279" i="14"/>
  <c r="B280" i="14"/>
  <c r="B281" i="14"/>
  <c r="B282" i="14"/>
  <c r="B285" i="14"/>
  <c r="B286" i="14"/>
  <c r="B287" i="14"/>
  <c r="B288" i="14"/>
  <c r="B289" i="14"/>
  <c r="B290" i="14"/>
  <c r="B291" i="14"/>
  <c r="B293" i="14"/>
  <c r="B294" i="14"/>
  <c r="B296" i="14"/>
  <c r="B297" i="14"/>
  <c r="B298" i="14"/>
  <c r="B299" i="14"/>
  <c r="B300" i="14"/>
  <c r="B301" i="14"/>
  <c r="B302" i="14"/>
  <c r="B303" i="14"/>
  <c r="B304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14" i="14"/>
  <c r="A15" i="14"/>
  <c r="A16" i="14"/>
  <c r="A17" i="14"/>
  <c r="A18" i="14"/>
  <c r="A19" i="14"/>
  <c r="A20" i="14"/>
  <c r="A21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6" i="14"/>
  <c r="A107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7" i="14"/>
  <c r="A218" i="14"/>
  <c r="A219" i="14"/>
  <c r="A220" i="14"/>
  <c r="A221" i="14"/>
  <c r="A222" i="14"/>
  <c r="A223" i="14"/>
  <c r="A224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7" i="14"/>
  <c r="A248" i="14"/>
  <c r="A249" i="14"/>
  <c r="A250" i="14"/>
  <c r="A251" i="14"/>
  <c r="A252" i="14"/>
  <c r="A253" i="14"/>
  <c r="A254" i="14"/>
  <c r="A255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B214" i="14" l="1"/>
  <c r="B201" i="14"/>
  <c r="G191" i="5"/>
  <c r="G190" i="5"/>
  <c r="B184" i="5"/>
  <c r="G184" i="5" s="1"/>
  <c r="B183" i="5"/>
  <c r="G183" i="5" s="1"/>
  <c r="B181" i="5"/>
  <c r="G181" i="5" s="1"/>
  <c r="G29" i="5"/>
  <c r="B185" i="14"/>
  <c r="B191" i="14" l="1"/>
  <c r="B197" i="14"/>
  <c r="B188" i="14"/>
  <c r="B198" i="14"/>
  <c r="B190" i="14"/>
  <c r="B36" i="14"/>
  <c r="G180" i="5"/>
  <c r="B213" i="14"/>
  <c r="B184" i="14"/>
  <c r="B306" i="14" l="1"/>
  <c r="B187" i="14"/>
  <c r="B285" i="5"/>
  <c r="G285" i="5" s="1"/>
  <c r="B277" i="5"/>
  <c r="G277" i="5" s="1"/>
  <c r="B276" i="5"/>
  <c r="G276" i="5" s="1"/>
  <c r="B232" i="14"/>
  <c r="B231" i="14"/>
  <c r="H174" i="5"/>
  <c r="H173" i="5"/>
  <c r="H172" i="5"/>
  <c r="H171" i="5"/>
  <c r="H170" i="5"/>
  <c r="H169" i="5"/>
  <c r="H168" i="5"/>
  <c r="B26" i="5"/>
  <c r="G26" i="5" s="1"/>
  <c r="G30" i="5"/>
  <c r="E21" i="24" l="1"/>
  <c r="C21" i="24" s="1"/>
  <c r="K21" i="24" s="1"/>
  <c r="B33" i="14"/>
  <c r="B284" i="14"/>
  <c r="B292" i="14"/>
  <c r="B37" i="14"/>
  <c r="B283" i="14"/>
  <c r="G28" i="5"/>
  <c r="B27" i="5"/>
  <c r="B189" i="5" s="1"/>
  <c r="B14" i="5"/>
  <c r="G14" i="5" s="1"/>
  <c r="B10" i="5"/>
  <c r="G10" i="5" s="1"/>
  <c r="F21" i="24" l="1"/>
  <c r="N21" i="24" s="1"/>
  <c r="M21" i="24"/>
  <c r="G189" i="5"/>
  <c r="B188" i="5"/>
  <c r="G188" i="5" s="1"/>
  <c r="G27" i="5"/>
  <c r="B35" i="14"/>
  <c r="B17" i="14"/>
  <c r="B21" i="14"/>
  <c r="B34" i="14"/>
  <c r="B13" i="5"/>
  <c r="G13" i="5" s="1"/>
  <c r="O21" i="24" l="1"/>
  <c r="G21" i="24"/>
  <c r="F193" i="20"/>
  <c r="E25" i="24"/>
  <c r="F108" i="23"/>
  <c r="H108" i="23" s="1"/>
  <c r="H141" i="23" s="1"/>
  <c r="B20" i="14"/>
  <c r="B195" i="14"/>
  <c r="B196" i="14"/>
  <c r="B11" i="14"/>
  <c r="C11" i="14"/>
  <c r="A330" i="14"/>
  <c r="B330" i="14"/>
  <c r="A13" i="14"/>
  <c r="B13" i="14"/>
  <c r="C13" i="14"/>
  <c r="M25" i="24" l="1"/>
  <c r="F25" i="24"/>
  <c r="N25" i="24" s="1"/>
  <c r="C25" i="24"/>
  <c r="K25" i="24" s="1"/>
  <c r="H193" i="20"/>
  <c r="F180" i="22"/>
  <c r="E334" i="5"/>
  <c r="E335" i="5"/>
  <c r="G25" i="24" l="1"/>
  <c r="G37" i="24" s="1"/>
  <c r="Q37" i="24" s="1"/>
  <c r="H226" i="20"/>
  <c r="H213" i="22" s="1"/>
  <c r="H180" i="22"/>
  <c r="O25" i="24"/>
  <c r="O37" i="24" s="1"/>
  <c r="M11" i="24" s="1"/>
  <c r="B1" i="14"/>
  <c r="D332" i="5" l="1"/>
  <c r="D337" i="5"/>
  <c r="E339" i="5"/>
  <c r="E336" i="5"/>
  <c r="E333" i="5"/>
  <c r="E331" i="5"/>
  <c r="E330" i="5"/>
  <c r="E11" i="24"/>
  <c r="E332" i="5" l="1"/>
  <c r="E337" i="5"/>
  <c r="G326" i="5" l="1"/>
  <c r="D83" i="7" l="1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52" i="7"/>
  <c r="E52" i="7" s="1"/>
  <c r="D51" i="7"/>
  <c r="E51" i="7" s="1"/>
  <c r="D50" i="7"/>
  <c r="E50" i="7" s="1"/>
  <c r="D49" i="7"/>
  <c r="H49" i="7" s="1"/>
  <c r="D48" i="7"/>
  <c r="E48" i="7" s="1"/>
  <c r="D47" i="7"/>
  <c r="E47" i="7" s="1"/>
  <c r="D46" i="7"/>
  <c r="E46" i="7" s="1"/>
  <c r="D45" i="7"/>
  <c r="E45" i="7" s="1"/>
  <c r="D44" i="7"/>
  <c r="E44" i="7" s="1"/>
  <c r="D43" i="7"/>
  <c r="E43" i="7" s="1"/>
  <c r="D42" i="7"/>
  <c r="E42" i="7" s="1"/>
  <c r="D41" i="7"/>
  <c r="E41" i="7" s="1"/>
  <c r="D40" i="7"/>
  <c r="E40" i="7" s="1"/>
  <c r="D39" i="7"/>
  <c r="E39" i="7" s="1"/>
  <c r="E49" i="7" l="1"/>
  <c r="D338" i="5" l="1"/>
  <c r="E338" i="5" l="1"/>
</calcChain>
</file>

<file path=xl/sharedStrings.xml><?xml version="1.0" encoding="utf-8"?>
<sst xmlns="http://schemas.openxmlformats.org/spreadsheetml/2006/main" count="2286" uniqueCount="1052">
  <si>
    <t>шт</t>
  </si>
  <si>
    <t>м3</t>
  </si>
  <si>
    <t>сухой</t>
  </si>
  <si>
    <t>Крепеж</t>
  </si>
  <si>
    <t>м2</t>
  </si>
  <si>
    <t>шт.</t>
  </si>
  <si>
    <t>Доставка</t>
  </si>
  <si>
    <t>Фундамент</t>
  </si>
  <si>
    <t>Окна</t>
  </si>
  <si>
    <t>50 мм</t>
  </si>
  <si>
    <t>100 мм</t>
  </si>
  <si>
    <t>Эконом</t>
  </si>
  <si>
    <t>Стандарт</t>
  </si>
  <si>
    <t>Премиум</t>
  </si>
  <si>
    <t>Вип</t>
  </si>
  <si>
    <t>Китай</t>
  </si>
  <si>
    <t>Россия (эконом)</t>
  </si>
  <si>
    <t>Наименование работы</t>
  </si>
  <si>
    <t>Ед.измер.</t>
  </si>
  <si>
    <t>Характеристика</t>
  </si>
  <si>
    <t>Себ-ть,руб.</t>
  </si>
  <si>
    <t>Розница,руб</t>
  </si>
  <si>
    <t>Фундаменты</t>
  </si>
  <si>
    <t>Ленточный фундамет</t>
  </si>
  <si>
    <t>Выемка грунта вручную</t>
  </si>
  <si>
    <t>Выемка грунта механизировано</t>
  </si>
  <si>
    <t>м/ч</t>
  </si>
  <si>
    <t>мин 4 часа</t>
  </si>
  <si>
    <t>Кирпич красный м 200</t>
  </si>
  <si>
    <t>Кирпич красный м 150</t>
  </si>
  <si>
    <t>Кирпич белый</t>
  </si>
  <si>
    <t>Пленка (150 мк)</t>
  </si>
  <si>
    <t>Песок</t>
  </si>
  <si>
    <t>1,67т</t>
  </si>
  <si>
    <t>Щебень(гранит 20 на 40)</t>
  </si>
  <si>
    <t>1,35т</t>
  </si>
  <si>
    <t>Щебень (известняк 20 на 40)</t>
  </si>
  <si>
    <t>1,3т</t>
  </si>
  <si>
    <t>Бетон</t>
  </si>
  <si>
    <t>м 200</t>
  </si>
  <si>
    <t>Арматура( 8)</t>
  </si>
  <si>
    <t>п.м</t>
  </si>
  <si>
    <t>Арматура( 10)</t>
  </si>
  <si>
    <t>Арматура (12)</t>
  </si>
  <si>
    <t>п.м.</t>
  </si>
  <si>
    <t>Арматура пластик( 6)</t>
  </si>
  <si>
    <t>Арматура пластик(8)</t>
  </si>
  <si>
    <t>Арматура пластик(10)</t>
  </si>
  <si>
    <t>Арматура пластик(12)</t>
  </si>
  <si>
    <t>Вязальная пров-ка</t>
  </si>
  <si>
    <t>кг</t>
  </si>
  <si>
    <t>min 3 кг</t>
  </si>
  <si>
    <t>Опалубка</t>
  </si>
  <si>
    <t xml:space="preserve"> доски 2 сорт</t>
  </si>
  <si>
    <t>Опалубка 1250Х2500х12</t>
  </si>
  <si>
    <t>1 шт</t>
  </si>
  <si>
    <t>OSB (3.125)</t>
  </si>
  <si>
    <t>Аренда мотобура(для свай)</t>
  </si>
  <si>
    <t>сутки</t>
  </si>
  <si>
    <t>Аренда буромашины(для свай)</t>
  </si>
  <si>
    <t>час</t>
  </si>
  <si>
    <t>min 4 час</t>
  </si>
  <si>
    <t>Блочный фундамент</t>
  </si>
  <si>
    <t>Блок</t>
  </si>
  <si>
    <t>Смесь М 150</t>
  </si>
  <si>
    <t>меш</t>
  </si>
  <si>
    <t>25 кг</t>
  </si>
  <si>
    <t>Рубероид</t>
  </si>
  <si>
    <t xml:space="preserve">1000 Х15000 </t>
  </si>
  <si>
    <t>Свайно-винтовой</t>
  </si>
  <si>
    <t>Свая 2000</t>
  </si>
  <si>
    <t>1,5 меш.смеси</t>
  </si>
  <si>
    <t>Свая 2500</t>
  </si>
  <si>
    <t>2 меш смеси</t>
  </si>
  <si>
    <t>Свая 3000</t>
  </si>
  <si>
    <t>2,5 меш.смеси</t>
  </si>
  <si>
    <t xml:space="preserve">200Х200 </t>
  </si>
  <si>
    <t>150Х200</t>
  </si>
  <si>
    <t>100Х200</t>
  </si>
  <si>
    <t>50Х200</t>
  </si>
  <si>
    <t>150Х150</t>
  </si>
  <si>
    <t>100Х150</t>
  </si>
  <si>
    <t>50Х150</t>
  </si>
  <si>
    <t>25Х150</t>
  </si>
  <si>
    <t>100Х100</t>
  </si>
  <si>
    <t>50Х100</t>
  </si>
  <si>
    <t>25Х100</t>
  </si>
  <si>
    <t>50Х50</t>
  </si>
  <si>
    <t>25Х50</t>
  </si>
  <si>
    <t>Брус 50Х50Х3</t>
  </si>
  <si>
    <t>Брус 50Х40Х3</t>
  </si>
  <si>
    <t>Брус 80Х80Х3</t>
  </si>
  <si>
    <t>Брус 100Х100Х3</t>
  </si>
  <si>
    <t>Рейка 20Х40Х3</t>
  </si>
  <si>
    <t>Доска колиброваная17Х90Х3</t>
  </si>
  <si>
    <t>Доска колиброваная17Х140Х6</t>
  </si>
  <si>
    <t>Для лестницы</t>
  </si>
  <si>
    <t>Доска колиброваная45Х190Х6</t>
  </si>
  <si>
    <t>Доска колиброваная50Х200Х6</t>
  </si>
  <si>
    <t>Отделочные материалы</t>
  </si>
  <si>
    <t>OSB 1250х2500Х9</t>
  </si>
  <si>
    <t>OSB 1250х2500Х12</t>
  </si>
  <si>
    <t>OSB 1250х2500Х18</t>
  </si>
  <si>
    <t>OSB 1250х2500Х22</t>
  </si>
  <si>
    <t>ГСП 3000Х1250Х8</t>
  </si>
  <si>
    <t>ГСП 2500Х1250Х10</t>
  </si>
  <si>
    <t>ГСП 2500Х1250Х12</t>
  </si>
  <si>
    <t>ЦСП 2700Х1250Х8</t>
  </si>
  <si>
    <t>ЦСП 2700Х1250Х10</t>
  </si>
  <si>
    <t>ЦСП 2700Х1250Х12</t>
  </si>
  <si>
    <t>ЦСП 2700Х1250Х16</t>
  </si>
  <si>
    <t>ЦСП 2700Х1250Х20</t>
  </si>
  <si>
    <t>ЦСП 2700Х1250Х24</t>
  </si>
  <si>
    <t>Фанера 1525Х1525Х10</t>
  </si>
  <si>
    <t>ДВП 2745Х1220 Х3,2</t>
  </si>
  <si>
    <t>ГКЛ 2500Х1200Х9,5</t>
  </si>
  <si>
    <t>ГВЛ 2500Х1200Х10</t>
  </si>
  <si>
    <t>Вагонка В</t>
  </si>
  <si>
    <t>Вагонка АВ</t>
  </si>
  <si>
    <t>Вагонка С</t>
  </si>
  <si>
    <t>Рау-хаус 135Х16 В</t>
  </si>
  <si>
    <t>Рау-хаус 135Х16 С</t>
  </si>
  <si>
    <t>Блок-хаус 135Х27</t>
  </si>
  <si>
    <t>Блок-хаус 135Х36</t>
  </si>
  <si>
    <t>Блок-хаус 185Х35</t>
  </si>
  <si>
    <t>Блок-хаус 185Х45</t>
  </si>
  <si>
    <t>Вагонка липа В</t>
  </si>
  <si>
    <t>Вагонка липа С</t>
  </si>
  <si>
    <t>Вагонка осина В</t>
  </si>
  <si>
    <t>27 ммХ135</t>
  </si>
  <si>
    <t>36 ммХ135</t>
  </si>
  <si>
    <t>Фасады</t>
  </si>
  <si>
    <t>Сайдинг панель/ под ключ</t>
  </si>
  <si>
    <t>белый</t>
  </si>
  <si>
    <t>214 / 265</t>
  </si>
  <si>
    <t>300/371</t>
  </si>
  <si>
    <t>цвет</t>
  </si>
  <si>
    <t>220 / 270</t>
  </si>
  <si>
    <t>308/ 378</t>
  </si>
  <si>
    <t>блок-хаус</t>
  </si>
  <si>
    <t>1200 /2500</t>
  </si>
  <si>
    <t>1680 /3500</t>
  </si>
  <si>
    <t>Софит панель/ под ключ</t>
  </si>
  <si>
    <t>белый,гладкий</t>
  </si>
  <si>
    <t>320 / 400</t>
  </si>
  <si>
    <t>448 / 560</t>
  </si>
  <si>
    <t>белый,перф.</t>
  </si>
  <si>
    <t>325 / 415</t>
  </si>
  <si>
    <t>455 /581</t>
  </si>
  <si>
    <t>цвет,гладкий</t>
  </si>
  <si>
    <t>335 / 425</t>
  </si>
  <si>
    <t>469 / 595</t>
  </si>
  <si>
    <t>цвет,перф</t>
  </si>
  <si>
    <t>355 / 445</t>
  </si>
  <si>
    <t>497 / 623</t>
  </si>
  <si>
    <t>Металлосайдинг панель/     под ключ</t>
  </si>
  <si>
    <t>эко брус(цвет)</t>
  </si>
  <si>
    <t>300 / 620</t>
  </si>
  <si>
    <t>420 /868</t>
  </si>
  <si>
    <t>рау -хаус</t>
  </si>
  <si>
    <t>300/ 620</t>
  </si>
  <si>
    <t>415 /750</t>
  </si>
  <si>
    <t>581 / 1050</t>
  </si>
  <si>
    <t>Штукатурный фасад (утепленный) ( с работой)</t>
  </si>
  <si>
    <t>Пенопласт,армир.сетка, клеевая основа,грунт, колеров.штукатурка(короед)</t>
  </si>
  <si>
    <t>с</t>
  </si>
  <si>
    <t>утеплитель базальтовый,армир.сетка, клеевая основа,грунт, колеров.штукатурка(короед)</t>
  </si>
  <si>
    <t xml:space="preserve">Утеплитель </t>
  </si>
  <si>
    <t>Рулонный каркасный</t>
  </si>
  <si>
    <t>средняя плотность</t>
  </si>
  <si>
    <t>высокая плотность</t>
  </si>
  <si>
    <t>Пенопласт 3 / 5 / 10</t>
  </si>
  <si>
    <t>41 / 69/ 136</t>
  </si>
  <si>
    <t>57/ 96,6 /97,2</t>
  </si>
  <si>
    <t>Пенополистирол 120Х600Х50</t>
  </si>
  <si>
    <t xml:space="preserve">0,72 м2 </t>
  </si>
  <si>
    <t>Пенополистирол 120Х600Х100</t>
  </si>
  <si>
    <t>Паро- гидро- изоляция</t>
  </si>
  <si>
    <t>Изоспан А</t>
  </si>
  <si>
    <t>рулон</t>
  </si>
  <si>
    <t>70 м</t>
  </si>
  <si>
    <t>Изоспан В</t>
  </si>
  <si>
    <t>Ламинек А</t>
  </si>
  <si>
    <t>Ламинек В</t>
  </si>
  <si>
    <t>Ламинек D</t>
  </si>
  <si>
    <t>Кровля( 0,45)</t>
  </si>
  <si>
    <t>Профнастил</t>
  </si>
  <si>
    <t>Цинк</t>
  </si>
  <si>
    <t>С 10</t>
  </si>
  <si>
    <t>С20</t>
  </si>
  <si>
    <t>Доборные элементы 2м</t>
  </si>
  <si>
    <t>Конек</t>
  </si>
  <si>
    <t>Торец</t>
  </si>
  <si>
    <t>Карниз</t>
  </si>
  <si>
    <t>Примыкание</t>
  </si>
  <si>
    <t>Ендова верхняя</t>
  </si>
  <si>
    <t>Ендова нижняя</t>
  </si>
  <si>
    <t>Отлив (10 см)</t>
  </si>
  <si>
    <t>Саморез</t>
  </si>
  <si>
    <t>Цветной</t>
  </si>
  <si>
    <t>С 20</t>
  </si>
  <si>
    <t>Металлочерепица</t>
  </si>
  <si>
    <t>Классик</t>
  </si>
  <si>
    <t>Классик матовая</t>
  </si>
  <si>
    <t>Корниз</t>
  </si>
  <si>
    <t>Ендова</t>
  </si>
  <si>
    <t>Планка примыкания</t>
  </si>
  <si>
    <t>Саморез крашеный</t>
  </si>
  <si>
    <t>Ондулин 1950 Х 950( 1750Х750)</t>
  </si>
  <si>
    <t>Зеленый</t>
  </si>
  <si>
    <t>Красный</t>
  </si>
  <si>
    <t>Коричневый</t>
  </si>
  <si>
    <t>Доборные элементы п.м</t>
  </si>
  <si>
    <t>Гвозди</t>
  </si>
  <si>
    <t>на 1м2 -10 шт</t>
  </si>
  <si>
    <t>Шинглас(бюдж.)</t>
  </si>
  <si>
    <t>Катэпал(средн)</t>
  </si>
  <si>
    <t>карниз</t>
  </si>
  <si>
    <t>Торцевые планки</t>
  </si>
  <si>
    <t>(металлические!)</t>
  </si>
  <si>
    <t>Подкладочный ковер</t>
  </si>
  <si>
    <t>700 г на 1 м2</t>
  </si>
  <si>
    <t>Водосточная система( по коньку)</t>
  </si>
  <si>
    <t>Пластик</t>
  </si>
  <si>
    <t>белая</t>
  </si>
  <si>
    <t>цветная</t>
  </si>
  <si>
    <t>Металлическая</t>
  </si>
  <si>
    <t>цинк</t>
  </si>
  <si>
    <t>Ставни</t>
  </si>
  <si>
    <t>Рольставни</t>
  </si>
  <si>
    <t>Ворота гаражные</t>
  </si>
  <si>
    <t>3000Х2500</t>
  </si>
  <si>
    <t>ПВХ</t>
  </si>
  <si>
    <t>Дачные</t>
  </si>
  <si>
    <t>Поворотные(одноств)</t>
  </si>
  <si>
    <t>Поворотные(двуств)</t>
  </si>
  <si>
    <t>Поворотно-откидное(одноств)</t>
  </si>
  <si>
    <t>Поворотно-откидное(двуств)</t>
  </si>
  <si>
    <t>Поворотно-откидное(трехств)</t>
  </si>
  <si>
    <t>Коттеджные</t>
  </si>
  <si>
    <t>Двери</t>
  </si>
  <si>
    <t>Дверь(стекло)</t>
  </si>
  <si>
    <t>без замка</t>
  </si>
  <si>
    <t>с замком</t>
  </si>
  <si>
    <t>Дверь глухая</t>
  </si>
  <si>
    <t>Дверь совмещенная</t>
  </si>
  <si>
    <t>Доборные элементы</t>
  </si>
  <si>
    <t>Откос сендвич</t>
  </si>
  <si>
    <t>Подоконник</t>
  </si>
  <si>
    <t xml:space="preserve">Сетка </t>
  </si>
  <si>
    <t>Отлив</t>
  </si>
  <si>
    <t>Дерево</t>
  </si>
  <si>
    <t>Летние (460Х460)</t>
  </si>
  <si>
    <t>Летние1000Х800</t>
  </si>
  <si>
    <t>Летние 1000Х1000</t>
  </si>
  <si>
    <t>Летние 1000Х1200</t>
  </si>
  <si>
    <t>Летние 1200Х1200</t>
  </si>
  <si>
    <t>Зимние 360Х360</t>
  </si>
  <si>
    <t>Зимние 460Х460</t>
  </si>
  <si>
    <t>Зимние 560Х860</t>
  </si>
  <si>
    <t>Зимние 1000Х1000</t>
  </si>
  <si>
    <t>Зимние 1000Х1200</t>
  </si>
  <si>
    <t>Зимние 1200Х1200</t>
  </si>
  <si>
    <t>Входные металл</t>
  </si>
  <si>
    <t>Россия (средн)</t>
  </si>
  <si>
    <t>Межкомнатные</t>
  </si>
  <si>
    <t>Филенчатые 600Х1800</t>
  </si>
  <si>
    <t>Филенчатые 700Х2100</t>
  </si>
  <si>
    <t>Филенчатые 800Х2100</t>
  </si>
  <si>
    <t>Филенчатые 900Х2100</t>
  </si>
  <si>
    <t>МДФ (белая)</t>
  </si>
  <si>
    <t>грунтов.,резная</t>
  </si>
  <si>
    <t>МДФ(орех)</t>
  </si>
  <si>
    <t>Банная</t>
  </si>
  <si>
    <t>Петли дверные</t>
  </si>
  <si>
    <t>компл</t>
  </si>
  <si>
    <t>(2 шт)</t>
  </si>
  <si>
    <t>Ручка дверная</t>
  </si>
  <si>
    <t>Ручка банная</t>
  </si>
  <si>
    <t>( 2 шт)</t>
  </si>
  <si>
    <t>Погонаж</t>
  </si>
  <si>
    <t>Наличник МДФ</t>
  </si>
  <si>
    <t>Наличник 70(дерево)</t>
  </si>
  <si>
    <t>Наличник 90</t>
  </si>
  <si>
    <t>Нащельник 35</t>
  </si>
  <si>
    <t>Нащельник 45</t>
  </si>
  <si>
    <t>Плинтус 30</t>
  </si>
  <si>
    <t>Плинтус 45</t>
  </si>
  <si>
    <t>Уголок 35</t>
  </si>
  <si>
    <t>Уголок45</t>
  </si>
  <si>
    <t>Лестница</t>
  </si>
  <si>
    <t>Балясины 1000Х40</t>
  </si>
  <si>
    <t>(резные)</t>
  </si>
  <si>
    <t>Столб 80Х80Х1200</t>
  </si>
  <si>
    <t>Столб 80Х80Х3000</t>
  </si>
  <si>
    <t>Ступень 900Х300Х40</t>
  </si>
  <si>
    <t>Подступенок 900Х200Х20</t>
  </si>
  <si>
    <t>Площадка 1000Х1000</t>
  </si>
  <si>
    <t>Площадка 1000Х1200</t>
  </si>
  <si>
    <t>Перила</t>
  </si>
  <si>
    <t>Подбалясник</t>
  </si>
  <si>
    <t>Косоур 50Х300</t>
  </si>
  <si>
    <t>Лестница неврезная без перил и ограждения</t>
  </si>
  <si>
    <t>Лестница неврезная с перилами</t>
  </si>
  <si>
    <t>Лестница неврезная с перилами и ограждением</t>
  </si>
  <si>
    <t>Лестница врезная без перил и ограждений</t>
  </si>
  <si>
    <t>Лестница врезная с перилами</t>
  </si>
  <si>
    <t>Лестница врезная с перилами и ограждением</t>
  </si>
  <si>
    <t>Г образная</t>
  </si>
  <si>
    <t>(с перилами и площадкой)</t>
  </si>
  <si>
    <t xml:space="preserve">П-образная </t>
  </si>
  <si>
    <t>Комплектующие к ОЦБ и ПРБ</t>
  </si>
  <si>
    <t>Джут</t>
  </si>
  <si>
    <t>18 м</t>
  </si>
  <si>
    <t>Нагель</t>
  </si>
  <si>
    <t>1000Х 25</t>
  </si>
  <si>
    <t>Домкраты</t>
  </si>
  <si>
    <t>Скользячки</t>
  </si>
  <si>
    <t>(по кол-ву стропил)</t>
  </si>
  <si>
    <t>Пружинный узел (сила)</t>
  </si>
  <si>
    <t>шаг 1м</t>
  </si>
  <si>
    <t>Оцил.бревно 18-24</t>
  </si>
  <si>
    <t>Проф.Брус ест.влажности</t>
  </si>
  <si>
    <t>Проф.брус (сборка в чашу)</t>
  </si>
  <si>
    <t>Клееный брус (сборка в чашу)</t>
  </si>
  <si>
    <t>Анкер регулируемый по высоте ARH M20 120x120</t>
  </si>
  <si>
    <t>Гвозди оцинк.винтовые 2,8Х60</t>
  </si>
  <si>
    <t>Гвозди строительные 2,5Х60</t>
  </si>
  <si>
    <t>Гвозди строительные 3,0Х70</t>
  </si>
  <si>
    <t>Гвозди строительные 3,5Х90</t>
  </si>
  <si>
    <t>Гвозди строительные 4,0Х100</t>
  </si>
  <si>
    <t>Гвозди строительные 4,0Х120</t>
  </si>
  <si>
    <t>Гвозди строительные 5,0Х150</t>
  </si>
  <si>
    <t>Гвозди строительные 6,0Х200</t>
  </si>
  <si>
    <t>Гвозди строительные оцинк.2,0Х40</t>
  </si>
  <si>
    <t>Гвозди строительные оцинк.2,0Х50</t>
  </si>
  <si>
    <t>Гвозди строительные оцинк.2,5Х60</t>
  </si>
  <si>
    <t>Гвозди строительные оцинк.3,0Х70</t>
  </si>
  <si>
    <t>Гвозди строительные оцинк. 3,5Х90</t>
  </si>
  <si>
    <t>Гвозди финишные(оцинк)1,8Х40</t>
  </si>
  <si>
    <t>Гвозди финишные (оцинк)1,8Х50</t>
  </si>
  <si>
    <t>Саморез для ГВЛ 3,9Х25</t>
  </si>
  <si>
    <t>Саморез п/с острый с п/ш4,2Х16</t>
  </si>
  <si>
    <t>Саморез по дереву 3,5Х35</t>
  </si>
  <si>
    <t>Саморез по дереву 3,5Х51</t>
  </si>
  <si>
    <t>Саморез по дереву4,2Х75</t>
  </si>
  <si>
    <t>Саморез по дереву 4,8Х90</t>
  </si>
  <si>
    <t>Саморезы 3,5Х25 крупная резьба (гипс-дерево)</t>
  </si>
  <si>
    <t>Саморезы 3,5Х35 крупная резьба (гипс-дерево)</t>
  </si>
  <si>
    <t>Саморезы 3,5Х51 крупная резьба (гипс-дерево)</t>
  </si>
  <si>
    <t>Саморезы 4,2Х19 прессшайба,острая,цинк</t>
  </si>
  <si>
    <t>Саморезы 4,2Х70 крупная резьба (гипс-дерево)</t>
  </si>
  <si>
    <t>Саморезы 4,2Х75 крупная резьба (гипс-дерево)</t>
  </si>
  <si>
    <t>Саморезы 4,2Х90 крупная резьба (гипс-дерево)</t>
  </si>
  <si>
    <t>Саморезы желтые 3,5Х40</t>
  </si>
  <si>
    <t>Саморезы желтые 4,0Х40 потай</t>
  </si>
  <si>
    <t>Скобы д/меб.степлера тип 53 10 мм</t>
  </si>
  <si>
    <t>Скобы д/меб.степлера тип 53 8 мм</t>
  </si>
  <si>
    <t>Шайба М6 простая DIN 125 оц.</t>
  </si>
  <si>
    <t>Шайба плоская</t>
  </si>
  <si>
    <t>Шурупы 6Х60 шестигр,цинк</t>
  </si>
  <si>
    <t>Шурупы по дереву ж/п 5Х50</t>
  </si>
  <si>
    <t>Пиломатериал( 6 м)</t>
  </si>
  <si>
    <t>Сухой строганый пиломатериал( 6 м)</t>
  </si>
  <si>
    <t>Эковата, сухим напылением</t>
  </si>
  <si>
    <t>Эковата, мокрым напылением</t>
  </si>
  <si>
    <t>Кровля</t>
  </si>
  <si>
    <t>м.п.</t>
  </si>
  <si>
    <t>Тайвек СОФТ (гидро-пароизоляция)</t>
  </si>
  <si>
    <t>Тайвек СОЛЕТ (гидро-пароизоляция)</t>
  </si>
  <si>
    <t>Изосан АМ (универсальная)</t>
  </si>
  <si>
    <t>Снегозадержатели</t>
  </si>
  <si>
    <t>Пластик 0,8х1,0 (1ст) поворотные</t>
  </si>
  <si>
    <t>Пластик 0,8х1,0 (2ст)поворотные</t>
  </si>
  <si>
    <t>Пластик 1,0х1,0 (2ст)поворотные</t>
  </si>
  <si>
    <t>Пластик 1,0х1,2 (2ст)поворотные</t>
  </si>
  <si>
    <t>Пластик 1,2х1,4 (2 ст)поворотные</t>
  </si>
  <si>
    <t>Мягкая кровля(на сплошную обрешетку)доска 25Х150 или OSB 9 мм</t>
  </si>
  <si>
    <t>Козырек над входной дверью</t>
  </si>
  <si>
    <t>Поликардонат на метал. каркасе 1х1</t>
  </si>
  <si>
    <t>Поликардонат на метал. каркасе 1х1,5</t>
  </si>
  <si>
    <t>Увеличение длины сваи</t>
  </si>
  <si>
    <t>1 м.п.</t>
  </si>
  <si>
    <t>Укосины по сваям с грунтом</t>
  </si>
  <si>
    <t>Цена работы</t>
  </si>
  <si>
    <t>Обвязка швеллером 16 с грунтом</t>
  </si>
  <si>
    <t>Шлифовка сруба</t>
  </si>
  <si>
    <t>Конопатка сруба</t>
  </si>
  <si>
    <t>Врезка роек с обсадными коробками</t>
  </si>
  <si>
    <t>ЦЕНЫ ЗА РАБОТУ С МАТЕРИАЛОМ!!!</t>
  </si>
  <si>
    <t>считать периметр окна</t>
  </si>
  <si>
    <t>считать с обеих сторон+углы по 4 сторонам вертикали</t>
  </si>
  <si>
    <t>считать с обеих сторон</t>
  </si>
  <si>
    <t>Сенеж, 10 литров</t>
  </si>
  <si>
    <t>руб.</t>
  </si>
  <si>
    <t>Итого:</t>
  </si>
  <si>
    <t>Мансардное окно (дачное)</t>
  </si>
  <si>
    <t>Мансардное окно (как в офисе)</t>
  </si>
  <si>
    <t>Лестница мансардная</t>
  </si>
  <si>
    <t>Уголки крепежные (средняя цена)</t>
  </si>
  <si>
    <t>Сухой пиломатериал</t>
  </si>
  <si>
    <t>Грибок аэратора</t>
  </si>
  <si>
    <t>Проходной узел</t>
  </si>
  <si>
    <t>Элементы бани</t>
  </si>
  <si>
    <t>Финский профиль 135Х16 В</t>
  </si>
  <si>
    <t>36kingalex13</t>
  </si>
  <si>
    <t>Цена единицы</t>
  </si>
  <si>
    <t>Кол-во</t>
  </si>
  <si>
    <t>Керамзитобетонный блок</t>
  </si>
  <si>
    <t>40Х50</t>
  </si>
  <si>
    <t>Шпунтованная доска, 27 мм</t>
  </si>
  <si>
    <t>Шпунтованная доска, 36 мм</t>
  </si>
  <si>
    <t>Доска колиброваная 35Х140Х6</t>
  </si>
  <si>
    <t>Плитный каркасный, средняя плотность</t>
  </si>
  <si>
    <t>Плитный каркасный, высокая плотность</t>
  </si>
  <si>
    <t>Ед. изм.</t>
  </si>
  <si>
    <t>Смесь печная</t>
  </si>
  <si>
    <t>Кирпич красный</t>
  </si>
  <si>
    <t>Печь отопительная</t>
  </si>
  <si>
    <t>Печь термофор, 15</t>
  </si>
  <si>
    <t>Печь кирасир,15, интро</t>
  </si>
  <si>
    <t>Доп. Сендвич</t>
  </si>
  <si>
    <t>Доп. ППУ</t>
  </si>
  <si>
    <t>Труба, пластик, 110 мм, 1 м.</t>
  </si>
  <si>
    <t>Угол, 110 мм, 90 градусов</t>
  </si>
  <si>
    <t>Угол, 110 мм, 45 градусов</t>
  </si>
  <si>
    <t>Керамзит</t>
  </si>
  <si>
    <t>Окна и двери</t>
  </si>
  <si>
    <t>Элементы лестницы</t>
  </si>
  <si>
    <t>Тетива</t>
  </si>
  <si>
    <t>Стартовый столб</t>
  </si>
  <si>
    <t>Скобы для степлера</t>
  </si>
  <si>
    <t>Пленка укрывная</t>
  </si>
  <si>
    <t>Организационные вопросы</t>
  </si>
  <si>
    <t>Аренда бытовки</t>
  </si>
  <si>
    <t>Погонажные изделия</t>
  </si>
  <si>
    <t>Пленки и утеплители</t>
  </si>
  <si>
    <t>Сумма договора</t>
  </si>
  <si>
    <t>Такелажные работы</t>
  </si>
  <si>
    <t>маш.</t>
  </si>
  <si>
    <t>Итого материалы:</t>
  </si>
  <si>
    <t>Номер договора</t>
  </si>
  <si>
    <t>Прочее (вписывается руками)</t>
  </si>
  <si>
    <t>Накладная №</t>
  </si>
  <si>
    <t>Наименование</t>
  </si>
  <si>
    <t>Общий вес, кг</t>
  </si>
  <si>
    <t>вес</t>
  </si>
  <si>
    <t>тонны</t>
  </si>
  <si>
    <t>Накладные расходы</t>
  </si>
  <si>
    <t>Технический надзор</t>
  </si>
  <si>
    <t>Строительно-монтажные работы</t>
  </si>
  <si>
    <t>Финский профиль, С (0,135)</t>
  </si>
  <si>
    <t>Блок-хаус, АВ (0,135)</t>
  </si>
  <si>
    <t>Блок-хаус, С (0,135)</t>
  </si>
  <si>
    <t>Двери МДФ, белые(полот., пет, ручки, обн. кор.)</t>
  </si>
  <si>
    <t>Разработка эскизного проект</t>
  </si>
  <si>
    <t>Разработка рабочей документации (узлов)</t>
  </si>
  <si>
    <t>Составление сметного расчета</t>
  </si>
  <si>
    <t>Аренда генератора (без ГСМ)</t>
  </si>
  <si>
    <t>Просчет проверил:</t>
  </si>
  <si>
    <t>Просчет выполнил:</t>
  </si>
  <si>
    <t>-</t>
  </si>
  <si>
    <t>Печь кирасир,10 в перегородку</t>
  </si>
  <si>
    <t>Печь термофор,10, бак на 55л</t>
  </si>
  <si>
    <t>Заезд</t>
  </si>
  <si>
    <t>Довозка №1</t>
  </si>
  <si>
    <t>Довозка №2</t>
  </si>
  <si>
    <t>Довозка №3</t>
  </si>
  <si>
    <t>Сдал:_______________</t>
  </si>
  <si>
    <t>Принял:_______________</t>
  </si>
  <si>
    <t>Адрес доставки:</t>
  </si>
  <si>
    <t>Телефон заказчика:</t>
  </si>
  <si>
    <t>Имя заказчика:</t>
  </si>
  <si>
    <t>Телефон бригадира:</t>
  </si>
  <si>
    <t>Имя бригадира:</t>
  </si>
  <si>
    <t>Доставка, № А/М:</t>
  </si>
  <si>
    <t>Склад: ФИО</t>
  </si>
  <si>
    <t>Водитель: ФИО</t>
  </si>
  <si>
    <t>Бригадир: ФИО</t>
  </si>
  <si>
    <t>Гипрок Лайт Аква 9,5мм</t>
  </si>
  <si>
    <t>Блоки</t>
  </si>
  <si>
    <t>Свайный фундамент (забивные сваи)</t>
  </si>
  <si>
    <t>Смесь М150</t>
  </si>
  <si>
    <t>Антисептик 3TREE BIO 10кг</t>
  </si>
  <si>
    <t>Глухарь 8*100</t>
  </si>
  <si>
    <t>Шайба М8 ув</t>
  </si>
  <si>
    <t>25*50*3</t>
  </si>
  <si>
    <t>25*100*6</t>
  </si>
  <si>
    <t>25*100*6 2-й сорт</t>
  </si>
  <si>
    <t>40*50*3</t>
  </si>
  <si>
    <t>50*50*3</t>
  </si>
  <si>
    <t>50*100*6</t>
  </si>
  <si>
    <t>50*150*6</t>
  </si>
  <si>
    <t>50*200*6</t>
  </si>
  <si>
    <t>100*100*6</t>
  </si>
  <si>
    <t>150*150*6</t>
  </si>
  <si>
    <t>100*200*6</t>
  </si>
  <si>
    <t>150*200*6</t>
  </si>
  <si>
    <t>200*200*6</t>
  </si>
  <si>
    <t>Террасная доска 112х24 - 6м, Сорт АВ</t>
  </si>
  <si>
    <t>Калибровка 140х35- 6м</t>
  </si>
  <si>
    <t>Шпунтовка 90х26 - 6м, Сорт АВ</t>
  </si>
  <si>
    <t>Шпунтовка 135х35 - 6м, Сорт АВ</t>
  </si>
  <si>
    <t>ОСБ-3 9мм</t>
  </si>
  <si>
    <t>ЦСП 10</t>
  </si>
  <si>
    <t>ЦСП 12</t>
  </si>
  <si>
    <t>Дверь входная 1,5мм РФ правая утепленная</t>
  </si>
  <si>
    <t>Дверь входная 1,2мм РФ левая не утепленная</t>
  </si>
  <si>
    <t>Балясины</t>
  </si>
  <si>
    <t>Поручень 4м</t>
  </si>
  <si>
    <t>Ступень</t>
  </si>
  <si>
    <t>Площадка 1,0*1,0</t>
  </si>
  <si>
    <t>Гвозди 250</t>
  </si>
  <si>
    <t>Гвозди 200</t>
  </si>
  <si>
    <t>Гвозди 150</t>
  </si>
  <si>
    <t>Гвозди 120</t>
  </si>
  <si>
    <t>Гвозди 100</t>
  </si>
  <si>
    <t>Гвозди 80</t>
  </si>
  <si>
    <t>Цинк 60</t>
  </si>
  <si>
    <t>Финиш 40</t>
  </si>
  <si>
    <t>Цинк 90</t>
  </si>
  <si>
    <t>Винт 60</t>
  </si>
  <si>
    <t>Саморез 4,2*90</t>
  </si>
  <si>
    <t>Саморез 4,2*75</t>
  </si>
  <si>
    <t>Саморез 3,5*51</t>
  </si>
  <si>
    <t>Саморез 3,5*35</t>
  </si>
  <si>
    <t>Саморез 3,9*35 по ГВЛ</t>
  </si>
  <si>
    <t>Саморез 50 ж/п</t>
  </si>
  <si>
    <t>Саморез 35 ж/п</t>
  </si>
  <si>
    <t>Саморез 4,2*19 п/ш</t>
  </si>
  <si>
    <t>Круг отрезной</t>
  </si>
  <si>
    <t>Круг шлифовальный</t>
  </si>
  <si>
    <t>Кисть 75</t>
  </si>
  <si>
    <t>Бита</t>
  </si>
  <si>
    <t>Пена монтажная зима</t>
  </si>
  <si>
    <t>Перчатки ПВХ</t>
  </si>
  <si>
    <t>Масло 0,1л</t>
  </si>
  <si>
    <t>Масло М8</t>
  </si>
  <si>
    <t>Цепь 50</t>
  </si>
  <si>
    <t>Джут 100</t>
  </si>
  <si>
    <t>Нагель 2-й сорт</t>
  </si>
  <si>
    <t>Домкрат</t>
  </si>
  <si>
    <t>Скобы 8*200</t>
  </si>
  <si>
    <t>Скользячка 90-160мм</t>
  </si>
  <si>
    <t>Узел-сила 10*240 эконом</t>
  </si>
  <si>
    <t>Металлочерепица + доборные элементы (шоколад)</t>
  </si>
  <si>
    <t xml:space="preserve">Изовер Каркас-М37-Твин (0,732м3) </t>
  </si>
  <si>
    <t>Изовер Каркас П-37 (0,714 м3) н/п</t>
  </si>
  <si>
    <t>Изовер Каркас П-34 (0,714 м3) ср/п</t>
  </si>
  <si>
    <t>Ондутис Smart SA 115 (75м2)</t>
  </si>
  <si>
    <t>Плинтус 35</t>
  </si>
  <si>
    <t>Обналичка 70</t>
  </si>
  <si>
    <t>Обналичка 90</t>
  </si>
  <si>
    <t>Угол 35</t>
  </si>
  <si>
    <t>Угол 45</t>
  </si>
  <si>
    <t>Вагонка осина 90х12,5 - 2м</t>
  </si>
  <si>
    <t>Вагонка липа 90х12,5 - 2м</t>
  </si>
  <si>
    <t>Полог осина 3,0м (90), Сорт А</t>
  </si>
  <si>
    <t>ОСА Термофор</t>
  </si>
  <si>
    <t>Кирасир 15</t>
  </si>
  <si>
    <t>Фольга</t>
  </si>
  <si>
    <t>Фанера 12</t>
  </si>
  <si>
    <t>Пенополистерол 1180х580х50мм</t>
  </si>
  <si>
    <t>Решетка 350*350</t>
  </si>
  <si>
    <t>HAUBERK ТЕХНОНИКОЛЬ Терракотовый кирпич</t>
  </si>
  <si>
    <t>Глухарь 6*100</t>
  </si>
  <si>
    <t>Шайба М6 ув</t>
  </si>
  <si>
    <t>пог. М</t>
  </si>
  <si>
    <t>Брус естественной влажности</t>
  </si>
  <si>
    <t>Брус сухой нестроганый</t>
  </si>
  <si>
    <t>Брус сухой строганый</t>
  </si>
  <si>
    <t>25*50*3 сухой</t>
  </si>
  <si>
    <t>25*100*6 сухой</t>
  </si>
  <si>
    <t>40*50*3 сухой</t>
  </si>
  <si>
    <t>50*50*3 сухой</t>
  </si>
  <si>
    <t>50*100*6 сухой</t>
  </si>
  <si>
    <t>50*150*6 сухой</t>
  </si>
  <si>
    <t>50*200*6 сухой</t>
  </si>
  <si>
    <t>150*150*6 сухой</t>
  </si>
  <si>
    <t>100*200*6 сухой</t>
  </si>
  <si>
    <t>150*200*6 сухой</t>
  </si>
  <si>
    <t>200*200*6 сухой</t>
  </si>
  <si>
    <t>20*40*3 сухой, строганный</t>
  </si>
  <si>
    <t>20*90*6</t>
  </si>
  <si>
    <t>40*50*3 сух, строг</t>
  </si>
  <si>
    <t>ОЦБ ф18</t>
  </si>
  <si>
    <t>ОЦБ ф20</t>
  </si>
  <si>
    <t>ОЦБ ф22</t>
  </si>
  <si>
    <t>ОЦБ ф24</t>
  </si>
  <si>
    <t>ОЦБ ф24 (финский профиль)</t>
  </si>
  <si>
    <t>ОЦБ ф26</t>
  </si>
  <si>
    <t>145*145 сухой (в чашу)</t>
  </si>
  <si>
    <t>ОЦБ и проф.брус в чашу</t>
  </si>
  <si>
    <t>Проф.брус в лапу</t>
  </si>
  <si>
    <t>195*145 сухой (в чашу)</t>
  </si>
  <si>
    <t>95*145 сухой</t>
  </si>
  <si>
    <t>145*145 сухой</t>
  </si>
  <si>
    <t>195*145 сухой</t>
  </si>
  <si>
    <t>95*145 сухой (в чашу)</t>
  </si>
  <si>
    <t>Гипрок Стронг Аква 15мм</t>
  </si>
  <si>
    <t>Гипрок Стронг 15мм</t>
  </si>
  <si>
    <t>Натяжной потолок (белый, матовый)</t>
  </si>
  <si>
    <t>Панель Vox Solid Brick Regular (цвет - York)</t>
  </si>
  <si>
    <t>Сайдинг Docke Lux Блок-Хаус</t>
  </si>
  <si>
    <t>Окна ПВХ</t>
  </si>
  <si>
    <t>Дверь входная 1,2мм РФ правая не утепленная</t>
  </si>
  <si>
    <t>Дверь входная 1,5мм РФ левая утепленная</t>
  </si>
  <si>
    <t>Дверь входная с терморазрывом левая</t>
  </si>
  <si>
    <t>Дверь входная с терморазрывом правая</t>
  </si>
  <si>
    <t>Дверь филенчатая 60 см (компл.)</t>
  </si>
  <si>
    <t>Дверь филенчатая 70 см (компл.)</t>
  </si>
  <si>
    <t>Дверь филенчатая 80 см (компл.)</t>
  </si>
  <si>
    <t>Дверь филенчатая 90 см (компл.)</t>
  </si>
  <si>
    <t>Дверь межкомнатные Браво с фурнитурой</t>
  </si>
  <si>
    <t>Отливы 10 (на фундамент, цвет - вишня)</t>
  </si>
  <si>
    <t>Оцинкованный профнастил + доборные элементы</t>
  </si>
  <si>
    <t>Сайдинг (шоколад)</t>
  </si>
  <si>
    <t>Софит перфорированный/глухой 50/50 (белый)</t>
  </si>
  <si>
    <t>Снегозадержатель</t>
  </si>
  <si>
    <t>СпанИзол А (70м2)</t>
  </si>
  <si>
    <t>СпанИзол В (70м2) стандарт</t>
  </si>
  <si>
    <t>СпанИзол АМ (70м2)</t>
  </si>
  <si>
    <t>Дверь банная</t>
  </si>
  <si>
    <t>ГЧ ТЕХНОНИКРОЛЬ коллекция Сальса цвет - Финик</t>
  </si>
  <si>
    <t>Мастер Флеш вишня</t>
  </si>
  <si>
    <t>Шпилька 10*1000</t>
  </si>
  <si>
    <t>Гайка М10</t>
  </si>
  <si>
    <t>Буронабивной фундамент</t>
  </si>
  <si>
    <t>Буронабивной фундамент с монолитной плитой</t>
  </si>
  <si>
    <t xml:space="preserve">Ж/б лента </t>
  </si>
  <si>
    <t>Фундаментная плита</t>
  </si>
  <si>
    <t>Профиль 20*40</t>
  </si>
  <si>
    <t>Цоколь</t>
  </si>
  <si>
    <t>145*145*6</t>
  </si>
  <si>
    <t>195*145*6</t>
  </si>
  <si>
    <t>95*145*6</t>
  </si>
  <si>
    <t>Дверь банная со стеклом</t>
  </si>
  <si>
    <t>Дверь стеклянная</t>
  </si>
  <si>
    <t>Подступенок</t>
  </si>
  <si>
    <t>Вагонка 90х12,5 - 6м, Сорт АВ (карнизы)</t>
  </si>
  <si>
    <t>Вагонка 90х12,5 - 6м, Сорт АВ (внутренняя отделка)</t>
  </si>
  <si>
    <t>Примечание</t>
  </si>
  <si>
    <t>Вагонка 90х12,5 - 6м, Сорт Эконом (карнизы)</t>
  </si>
  <si>
    <t>Рау-хаус 110х16- 6м, Сорт АВ (внутренняя отделка)</t>
  </si>
  <si>
    <t>Рау-хаус 110х16- 6м, Сорт АВ (наружная отделка)</t>
  </si>
  <si>
    <t>Площадь покраски лестницы:</t>
  </si>
  <si>
    <t>Джут 50</t>
  </si>
  <si>
    <t>Джут 150</t>
  </si>
  <si>
    <t>Наружная обработка дома (покрытие красками)</t>
  </si>
  <si>
    <t>Сетка от грызунов 1*10м</t>
  </si>
  <si>
    <t>СпанИзол А (35м2)</t>
  </si>
  <si>
    <t>СпанИзол В (35м2) стандарт</t>
  </si>
  <si>
    <t>СпанИзол АМ (35м2)</t>
  </si>
  <si>
    <t>Обналичка 110 3м</t>
  </si>
  <si>
    <t>Труба гофр</t>
  </si>
  <si>
    <t>Кран шаровый</t>
  </si>
  <si>
    <t xml:space="preserve">Отвод воды за пределы бани </t>
  </si>
  <si>
    <t>2 или 1</t>
  </si>
  <si>
    <t>60 или 30</t>
  </si>
  <si>
    <t>Краска Teknos (укрывная)</t>
  </si>
  <si>
    <t>Общая площадь покраски в 1 слой - для 1С</t>
  </si>
  <si>
    <t>25*150*6</t>
  </si>
  <si>
    <t>25*200*6</t>
  </si>
  <si>
    <t>25*150*6 сухой</t>
  </si>
  <si>
    <t>25*200*6 сухой</t>
  </si>
  <si>
    <t>100*150*6</t>
  </si>
  <si>
    <t>25*100*6 2-й сорт сухой</t>
  </si>
  <si>
    <t>100*100*6 сухой</t>
  </si>
  <si>
    <t>100*150*6 сухой</t>
  </si>
  <si>
    <t>Плинтус, 35 мм, 3м</t>
  </si>
  <si>
    <t>Плинтус, 45 мм, 3м</t>
  </si>
  <si>
    <t>Нащельник, 0,03х2,2м</t>
  </si>
  <si>
    <t>Обналичка, 70 мм</t>
  </si>
  <si>
    <t>Обналичка, 90 мм</t>
  </si>
  <si>
    <t>Обналичка, 110 мм, 3м</t>
  </si>
  <si>
    <t>Угол, 35 мм, 2,5м</t>
  </si>
  <si>
    <t>Угол, 45 мм, 2,5м</t>
  </si>
  <si>
    <t>Рау-хаус 135х16- 6м, Сорт АВ (внутренняя отделка)</t>
  </si>
  <si>
    <t>Нащельник широкий 2,2м</t>
  </si>
  <si>
    <t>Обналичка 110 6м</t>
  </si>
  <si>
    <t>Калибровка на углы (16х110х6000мм)</t>
  </si>
  <si>
    <t>СпанИзол D (70м2)</t>
  </si>
  <si>
    <t>СпанИзол D (35м2)</t>
  </si>
  <si>
    <t>Брус для обвязки</t>
  </si>
  <si>
    <t>если винтовые сваи</t>
  </si>
  <si>
    <t>если забивные сваи</t>
  </si>
  <si>
    <t>50*100*6 обвязка</t>
  </si>
  <si>
    <t>50*150*6 обвязка</t>
  </si>
  <si>
    <t>50*200*6 обвязка</t>
  </si>
  <si>
    <t>100*100*6 обвязка</t>
  </si>
  <si>
    <t>100*150*6 обвязка</t>
  </si>
  <si>
    <t>100*200*6 обвязка</t>
  </si>
  <si>
    <t>150*150*6 обвязка</t>
  </si>
  <si>
    <t>150*200*6 обвязка</t>
  </si>
  <si>
    <t>200*200*6 обвязка</t>
  </si>
  <si>
    <t>50*100*6 сухой обвязка</t>
  </si>
  <si>
    <t>50*150*6 сухой обвязка</t>
  </si>
  <si>
    <t>50*200*6 сухой обвязка</t>
  </si>
  <si>
    <t>100*100*6 сухой обвязка</t>
  </si>
  <si>
    <t>100*150*6 сухой обвязка</t>
  </si>
  <si>
    <t>100*200*6 сухой обвязка</t>
  </si>
  <si>
    <t>150*150*6 сухой обвязка</t>
  </si>
  <si>
    <t>150*200*6 сухой обвязка</t>
  </si>
  <si>
    <t>200*200*6 сухой обвязка</t>
  </si>
  <si>
    <t>40*90*6 обвязка</t>
  </si>
  <si>
    <t>40*140*6 обвязка</t>
  </si>
  <si>
    <t>40*190*6 обвязка</t>
  </si>
  <si>
    <t>Шпилька+гайка+шайба = анкерные болты= для крепления в буронабивных фундаментах</t>
  </si>
  <si>
    <t>глухарь+шайба для крепления в сваях</t>
  </si>
  <si>
    <t>Рау-хаус 110х16- 6м, Сорт АВ Скандик UYV</t>
  </si>
  <si>
    <t>Петли для двери на чердак</t>
  </si>
  <si>
    <t>Петли для люка</t>
  </si>
  <si>
    <t>Рау-хаус 185х21- 6м, Сорт АВ</t>
  </si>
  <si>
    <t>ОСБ-3 12мм</t>
  </si>
  <si>
    <t>Рау-хаус 180х20 - 6м, Сорт АВ</t>
  </si>
  <si>
    <t>№</t>
  </si>
  <si>
    <t>Работа</t>
  </si>
  <si>
    <t>Материал</t>
  </si>
  <si>
    <t>Стоимость ед. материал</t>
  </si>
  <si>
    <t xml:space="preserve">Стоимость ед. работа </t>
  </si>
  <si>
    <t>Итого</t>
  </si>
  <si>
    <t>Устройство фундамента</t>
  </si>
  <si>
    <t>компл.</t>
  </si>
  <si>
    <t>Геология</t>
  </si>
  <si>
    <t>Устройство каркаса и стропильной системы дома</t>
  </si>
  <si>
    <t>Брус 150х200 мм</t>
  </si>
  <si>
    <t>Брус 50х200 мм</t>
  </si>
  <si>
    <t>Брус 50х150 мм</t>
  </si>
  <si>
    <t>Брус 25х100 мм</t>
  </si>
  <si>
    <t>Брус 40х50 мм</t>
  </si>
  <si>
    <t>Брус 50х100 мм</t>
  </si>
  <si>
    <t>Брус 150х150 мм</t>
  </si>
  <si>
    <t>Устройство цоколя</t>
  </si>
  <si>
    <t>Брус 100х100 мм</t>
  </si>
  <si>
    <t>Брус 100х150 мм</t>
  </si>
  <si>
    <t>Брус 100х200 мм</t>
  </si>
  <si>
    <t>Брус 200х200 мм</t>
  </si>
  <si>
    <t>Брус 25х50 мм</t>
  </si>
  <si>
    <t>Брус 25х150 мм</t>
  </si>
  <si>
    <t>Брус 25х200 мм</t>
  </si>
  <si>
    <t>Брус 50х50 мм</t>
  </si>
  <si>
    <t>Брус 2-го сорта 25х100 мм</t>
  </si>
  <si>
    <t>Пиломатериал</t>
  </si>
  <si>
    <t>Устройство обвязочного бруса</t>
  </si>
  <si>
    <t>Устройство каркаса наружных стен с ригелями, укосинами и обвязкой</t>
  </si>
  <si>
    <t>Устройство бруска для перекрестного утепления</t>
  </si>
  <si>
    <t>Устройство контробрешетки по наружному каркасу (наружной)</t>
  </si>
  <si>
    <t>Устройство контробрешетки по наружному каркасу (внутренней)</t>
  </si>
  <si>
    <t>Устройство каркаса перегородок</t>
  </si>
  <si>
    <t>Устройство опорных столбов</t>
  </si>
  <si>
    <t>Устройство чернового пола</t>
  </si>
  <si>
    <t>Устройство лаг пола</t>
  </si>
  <si>
    <t>Устройство лаг перекрытия</t>
  </si>
  <si>
    <t>Устройство матицы</t>
  </si>
  <si>
    <t>Устройство стропильной системы</t>
  </si>
  <si>
    <t>Устройство обрешетки кровли</t>
  </si>
  <si>
    <t>Устройство контробрешетки кровли</t>
  </si>
  <si>
    <t>Устройство ограждения</t>
  </si>
  <si>
    <t>Устройство обрешетки по потолку</t>
  </si>
  <si>
    <t>Устройство обрешетки по полу</t>
  </si>
  <si>
    <t>Устройство обрешетки</t>
  </si>
  <si>
    <t>Профрофилированный брус (сборка в лапу) 195х145 мм</t>
  </si>
  <si>
    <t>Профрофилированный брус (сборка в лапу) 145х145 мм</t>
  </si>
  <si>
    <t>Профрофилированный брус (сборка в лапу) 95х145 мм</t>
  </si>
  <si>
    <t>Профрофилированный брус (сборка в лапу), сухой 195х145 мм</t>
  </si>
  <si>
    <t>Профрофилированный брус (сборка в лапу), сухой 145х145 мм</t>
  </si>
  <si>
    <t>Профрофилированный брус (сборка в лапу), сухой 95х145 мм</t>
  </si>
  <si>
    <t>Профрофилированный брус (сборка в чашу), сухой 195х145 мм</t>
  </si>
  <si>
    <t>Профрофилированный брус (сборка в чашу), сухой 145х145 мм</t>
  </si>
  <si>
    <t>Профрофилированный брус (сборка в чашу), сухой 95х145 мм</t>
  </si>
  <si>
    <t>Сборка в лапу профилированного бруса</t>
  </si>
  <si>
    <t>Устройство черепного бруска</t>
  </si>
  <si>
    <t>Устройство роек</t>
  </si>
  <si>
    <t>Устройство окосячки</t>
  </si>
  <si>
    <t>Сборка в чашу профилированного бруса</t>
  </si>
  <si>
    <t>Сборка оцилиндрованного бревна</t>
  </si>
  <si>
    <t>Оцилиндрованное бревно ф18</t>
  </si>
  <si>
    <t>Оцилиндрованное бревно ф20</t>
  </si>
  <si>
    <t>Оцилиндрованное бревно ф22</t>
  </si>
  <si>
    <t>Оцилиндрованное бревно ф24</t>
  </si>
  <si>
    <t>Оцилиндрованное бревно ф24 (финский профиль)</t>
  </si>
  <si>
    <t>Оцилиндрованное бревно ф26</t>
  </si>
  <si>
    <t>Устройство кровли</t>
  </si>
  <si>
    <t>Антисептирование пиломатериала</t>
  </si>
  <si>
    <t>Устройство покрытия кровли</t>
  </si>
  <si>
    <t>Оцинкованный профнастил</t>
  </si>
  <si>
    <t>Крашенный профнастил</t>
  </si>
  <si>
    <t>Гибкая черепица</t>
  </si>
  <si>
    <t>Устройство водосточной системы</t>
  </si>
  <si>
    <t>Водосточная система ПВХ на металлических кронштейнах</t>
  </si>
  <si>
    <t>Устройство снегозадержателя</t>
  </si>
  <si>
    <t>Устройство вентиляционных решеток</t>
  </si>
  <si>
    <t>Софит перфорированный 50/50</t>
  </si>
  <si>
    <t>Сайдинг</t>
  </si>
  <si>
    <t>Вентиляционная решетка</t>
  </si>
  <si>
    <t>Отделка карнизов</t>
  </si>
  <si>
    <t>Отделка потолка балкона</t>
  </si>
  <si>
    <t>Отделка потолка террасы</t>
  </si>
  <si>
    <t>Отделка потолка навеса</t>
  </si>
  <si>
    <t>Отделка потолка крыльца</t>
  </si>
  <si>
    <t xml:space="preserve">Гидроизоляция </t>
  </si>
  <si>
    <t>Пароизоляция</t>
  </si>
  <si>
    <t>Гидроизоляция кровли</t>
  </si>
  <si>
    <t xml:space="preserve">Спанизол А </t>
  </si>
  <si>
    <t>Спанизол В</t>
  </si>
  <si>
    <t>Спанизол АМ</t>
  </si>
  <si>
    <t>Спанизол D</t>
  </si>
  <si>
    <t>Ondutiss Smart A</t>
  </si>
  <si>
    <t>Ondutiss Smart B</t>
  </si>
  <si>
    <t>Ondutiss Smart SA</t>
  </si>
  <si>
    <t>Утепление</t>
  </si>
  <si>
    <t>Утепление пола</t>
  </si>
  <si>
    <t>Утепление перекрытия</t>
  </si>
  <si>
    <t>Утепление потолка</t>
  </si>
  <si>
    <t>Плитная минеральная вата (ISOVER, средней плотности, 0,034Вт/м*К)</t>
  </si>
  <si>
    <t>Рулонная минеральная вата (ISOVER, 0,036Вт/м*К)</t>
  </si>
  <si>
    <t>Плитная минеральная вата (ISOVER, низкой плотности, 0,035Вт/м*К)</t>
  </si>
  <si>
    <t>Наружная отделка</t>
  </si>
  <si>
    <t>Внутренняя отделка</t>
  </si>
  <si>
    <t>Другое</t>
  </si>
  <si>
    <t>Монтаж ПВХ изделий по проекту</t>
  </si>
  <si>
    <t>Устройство входной двери</t>
  </si>
  <si>
    <t>Рубероид, саморезы, гвозди, гайки, шайбы и т.д.</t>
  </si>
  <si>
    <t>Устройство лестницы</t>
  </si>
  <si>
    <t>Доп. Затраты</t>
  </si>
  <si>
    <t>Разработка эскизного проекта</t>
  </si>
  <si>
    <t>Разгрузка и погрузка материала, такелажные работы</t>
  </si>
  <si>
    <t>Устройство лесов</t>
  </si>
  <si>
    <t>Покраска</t>
  </si>
  <si>
    <t>Итого по смете:</t>
  </si>
  <si>
    <t>Брус сухой, нестроганый 25х50 мм</t>
  </si>
  <si>
    <t>Брус сухой, нестроганый 25х100 мм</t>
  </si>
  <si>
    <t>Брус 2-го сорта, сухой, нестроганый 25х100 мм</t>
  </si>
  <si>
    <t>Брус сухой, нестроганый 25х150 мм</t>
  </si>
  <si>
    <t>Брус сухой, нестроганый 25х200 мм</t>
  </si>
  <si>
    <t>Брус сухой, нестроганый 40х50 мм</t>
  </si>
  <si>
    <t>Брус сухой, нестроганый 50х50 мм</t>
  </si>
  <si>
    <t>Брус сухой, нестроганый 50х100 мм</t>
  </si>
  <si>
    <t>Брус сухой, нестроганый 50х150 мм</t>
  </si>
  <si>
    <t>Брус сухой, нестроганый 50х200 мм</t>
  </si>
  <si>
    <t>Брус сухой, нестроганый 100х100 мм</t>
  </si>
  <si>
    <t>Брус сухой, нестроганый 100х150 мм</t>
  </si>
  <si>
    <t>Брус сухой, нестроганый 100х200 мм</t>
  </si>
  <si>
    <t>Брус сухой, нестроганый 150х150 мм</t>
  </si>
  <si>
    <t>Брус сухой, нестроганый 150х200 мм</t>
  </si>
  <si>
    <t>Брус сухой, нестроганый 200х200 мм</t>
  </si>
  <si>
    <t>Брус сухой, строганый 20х40 мм</t>
  </si>
  <si>
    <t>Брус сухой, строганый 20х90 мм</t>
  </si>
  <si>
    <t>Брус сухой, строганый 40х50 мм</t>
  </si>
  <si>
    <t>Брус сухой, строганый 40х140 мм</t>
  </si>
  <si>
    <t>Брус сухой, строганый 40х90 мм</t>
  </si>
  <si>
    <t>Брус сухой, строганый 40х190 мм</t>
  </si>
  <si>
    <t>Брус 2-го сорта,сухой, строганый 20х90 мм</t>
  </si>
  <si>
    <t>Устройство подшива карнизов, потолков крыльца, террасы и навеса</t>
  </si>
  <si>
    <t xml:space="preserve">Другое </t>
  </si>
  <si>
    <t>Утепление перегородок первого этажа</t>
  </si>
  <si>
    <t>Утепление перегородок второго этажа</t>
  </si>
  <si>
    <t>Утепление наружных стен первого этажа</t>
  </si>
  <si>
    <t>Утепление наружных стен второго этажа</t>
  </si>
  <si>
    <t>Утепление пола парного помещения</t>
  </si>
  <si>
    <t>Фольгированная пароизоляция</t>
  </si>
  <si>
    <t>внутр</t>
  </si>
  <si>
    <t>нар</t>
  </si>
  <si>
    <t>Отделка наружных стен первого этажа</t>
  </si>
  <si>
    <t>Отделка наружных стен второго этажа</t>
  </si>
  <si>
    <t>Отделка перегородок первого этажа</t>
  </si>
  <si>
    <t>Отделка перегородок второго этажа</t>
  </si>
  <si>
    <t>Отделка потолка первого этажа</t>
  </si>
  <si>
    <t>Отделка потолка второго этажа</t>
  </si>
  <si>
    <t>Настил пола первого этажа</t>
  </si>
  <si>
    <t>Настил пола второго этажа</t>
  </si>
  <si>
    <t>Наружная отделка стен первого этажа</t>
  </si>
  <si>
    <t>Наружная отделка - настил пола крыльца</t>
  </si>
  <si>
    <t>Наружная отделка - настил пола террасы</t>
  </si>
  <si>
    <t>Наружная отделка - Другое</t>
  </si>
  <si>
    <t>Рау-хаус 110х16- 6м, Сорт АВ</t>
  </si>
  <si>
    <t>Рау-хаус 135х16- 6м, Сорт АВ</t>
  </si>
  <si>
    <t>Вагонка 90х12,5 - 6м, Сорт АВ</t>
  </si>
  <si>
    <t>ОКНА</t>
  </si>
  <si>
    <t>Устройство межкомнатной двери</t>
  </si>
  <si>
    <t>Вагонка 90х12,5 - 6м, Сорт Эконом</t>
  </si>
  <si>
    <t>Устройство полков</t>
  </si>
  <si>
    <t>Устройство печи</t>
  </si>
  <si>
    <t>Печь предоставляет Заказчик</t>
  </si>
  <si>
    <t>Материал предоставляет Заказчик</t>
  </si>
  <si>
    <t>Входная дверь Заказчика</t>
  </si>
  <si>
    <t>Межкомнатная дверь Заказчика</t>
  </si>
  <si>
    <t>Укладка ламината Заказчика</t>
  </si>
  <si>
    <t>Укладка плитки Заказчика</t>
  </si>
  <si>
    <t>Монтаж обоев Заказчика</t>
  </si>
  <si>
    <t>Приложение №3 к договору строительного подряда №00/00 от 00.00.2020 г.</t>
  </si>
  <si>
    <t>сборка в чашу из сырого = 14375р/м3</t>
  </si>
  <si>
    <t>Наружная отделка стен второго этажа</t>
  </si>
  <si>
    <t>Устройство сетки от грызунов</t>
  </si>
  <si>
    <t>Паро/гидроизоляция</t>
  </si>
  <si>
    <t>Устройство погонажных элементов</t>
  </si>
  <si>
    <t>Прочее</t>
  </si>
  <si>
    <t>СОГЛАСОВАНО:</t>
  </si>
  <si>
    <t>__________</t>
  </si>
  <si>
    <t>"____" __________ 20__ г.</t>
  </si>
  <si>
    <t>(наименование стройки)</t>
  </si>
  <si>
    <t xml:space="preserve">СМЕТНЫЙ РАСЧЕТ </t>
  </si>
  <si>
    <t>(локальная смета)</t>
  </si>
  <si>
    <t>УТВЕРЖДАЮ:</t>
  </si>
  <si>
    <t>Приложение №3 к договору 00/00 от 00 мая 0000 года на строительство дома</t>
  </si>
  <si>
    <r>
      <t xml:space="preserve">на Строительство дома по адресу: </t>
    </r>
    <r>
      <rPr>
        <u/>
        <sz val="11"/>
        <color rgb="FF000000"/>
        <rFont val="Arial"/>
        <family val="2"/>
        <charset val="204"/>
      </rPr>
      <t>00000</t>
    </r>
  </si>
  <si>
    <t>сто-ть мат-ла</t>
  </si>
  <si>
    <t>без коэф</t>
  </si>
  <si>
    <t>Профрофилированный брус (сборка в лапу)</t>
  </si>
  <si>
    <t>Профрофилированный брус, сухой (сборка в лапу)</t>
  </si>
  <si>
    <t>Профрофилированный брус, сухой (сборка в чашу)</t>
  </si>
  <si>
    <t>Устройство утепления</t>
  </si>
  <si>
    <t>Наружная и внутренняя отделка</t>
  </si>
  <si>
    <t>Устройство террасной доски</t>
  </si>
  <si>
    <t>Устройство калиброой доски</t>
  </si>
  <si>
    <t>Устройство шпунтовой доски</t>
  </si>
  <si>
    <t>Устройство ОСБ</t>
  </si>
  <si>
    <t>Устройство ЦСП</t>
  </si>
  <si>
    <t>Устройство HAUBERK</t>
  </si>
  <si>
    <t>Устройство Фанеры</t>
  </si>
  <si>
    <t>Устройство Гипрок Стронг</t>
  </si>
  <si>
    <t>Устройство Гипрок Лайт</t>
  </si>
  <si>
    <t>Устройство Гипрок Стронг Аква</t>
  </si>
  <si>
    <t>Устройство Гипрок Лайт Аква</t>
  </si>
  <si>
    <t>Устройство панелей</t>
  </si>
  <si>
    <t>Устройство сайдинга</t>
  </si>
  <si>
    <t>Устройство имитации бруса</t>
  </si>
  <si>
    <t>Устройство вагонки</t>
  </si>
  <si>
    <t>Устройство финского профиля</t>
  </si>
  <si>
    <t>Устройство блок-хауса</t>
  </si>
  <si>
    <t>Устройство натяжного потолка</t>
  </si>
  <si>
    <t>Устройство петель</t>
  </si>
  <si>
    <t>?</t>
  </si>
  <si>
    <t>СВОДНЫЙ СМЕТНЫЙ РАСЧЕТ</t>
  </si>
  <si>
    <t>Дата:</t>
  </si>
  <si>
    <t>11.12.2020</t>
  </si>
  <si>
    <t>Объект:</t>
  </si>
  <si>
    <t>Сметная стоимость, руб.</t>
  </si>
  <si>
    <t>Общая сметная стоимость, руб.</t>
  </si>
  <si>
    <t>Наименование работ и ресурсов</t>
  </si>
  <si>
    <t>Ед.изм</t>
  </si>
  <si>
    <t>Оплата труда</t>
  </si>
  <si>
    <t>Материалы</t>
  </si>
  <si>
    <t>1.Фундамент</t>
  </si>
  <si>
    <t>комплект</t>
  </si>
  <si>
    <t>10.Прочие расходы</t>
  </si>
  <si>
    <t>Итого по смете,руб.:</t>
  </si>
  <si>
    <t>Подрядчик:________________/_________________/</t>
  </si>
  <si>
    <t>от "_____"______________20____г.</t>
  </si>
  <si>
    <t>3.Отделочные материалы</t>
  </si>
  <si>
    <t>4.Окна и двери</t>
  </si>
  <si>
    <t>5.Крепеж</t>
  </si>
  <si>
    <t>6.Кровля</t>
  </si>
  <si>
    <t>7.Пленки и утеплители</t>
  </si>
  <si>
    <t>8.Погонажные изделия</t>
  </si>
  <si>
    <t>9.Покраска</t>
  </si>
  <si>
    <t>Сметная стоимость:</t>
  </si>
  <si>
    <t>Заказчик:________________/___________________/</t>
  </si>
  <si>
    <t>2.Пиломатериал</t>
  </si>
  <si>
    <t>Фундамент, цоколь</t>
  </si>
  <si>
    <t>Окна, двери мдф и двери браво</t>
  </si>
  <si>
    <t>ПРИМЕЧАНИЕ!!!</t>
  </si>
  <si>
    <t>В смете не учтены следующие цены (нужно добавить вручную):</t>
  </si>
  <si>
    <t>Монтаж материалов заказчика, позиции из пункта "Прочее"</t>
  </si>
  <si>
    <t>Разработка эскизного проекта, Разгрузка и погрузка материала,</t>
  </si>
  <si>
    <t xml:space="preserve"> такелажные работы, Аренда бытовки, Устройство лесов, Доставка</t>
  </si>
  <si>
    <t xml:space="preserve">   2.1 Устройство каркаса/сборка сруба</t>
  </si>
  <si>
    <t xml:space="preserve">   3.1 Устройство отделки (включая элементы бани)</t>
  </si>
  <si>
    <t xml:space="preserve">   4.1 Устройство окон и дверей</t>
  </si>
  <si>
    <t xml:space="preserve">   5.1 Устройство крепежа</t>
  </si>
  <si>
    <t xml:space="preserve">   6.1 Устройство кровли</t>
  </si>
  <si>
    <t xml:space="preserve">   7.1 Устройство пленок и утепления</t>
  </si>
  <si>
    <t xml:space="preserve">   8.1 Устройство погонажа</t>
  </si>
  <si>
    <t xml:space="preserve">   9.1 Устройство покраски</t>
  </si>
  <si>
    <t xml:space="preserve">   10.1 Устройство прочих расходов и доставка</t>
  </si>
  <si>
    <t>Приложение № 3</t>
  </si>
  <si>
    <t>Жилой дом</t>
  </si>
  <si>
    <t>Дача</t>
  </si>
  <si>
    <t>Баня</t>
  </si>
  <si>
    <t>Гараж</t>
  </si>
  <si>
    <t>Сарай</t>
  </si>
  <si>
    <t>Беседка</t>
  </si>
  <si>
    <t>Заполнить для сметы в налоговую и для большой сметы клиенту!!!</t>
  </si>
  <si>
    <t>Изоплаат Ветрозащита 12мм, шт, 1200*1,25=1500р/шт</t>
  </si>
  <si>
    <t xml:space="preserve">   1.1 Устройство фундамента (включая цоколь)</t>
  </si>
  <si>
    <t>Смета для Заказчика</t>
  </si>
  <si>
    <t>Смета в бухгалтерию</t>
  </si>
  <si>
    <t>Выбери % -</t>
  </si>
  <si>
    <t>=</t>
  </si>
  <si>
    <t>% Для бухгалтерии</t>
  </si>
  <si>
    <t xml:space="preserve"> </t>
  </si>
  <si>
    <t>Объем, м2 для заказа краски</t>
  </si>
  <si>
    <t>Ед. Изм.</t>
  </si>
  <si>
    <t>Бренд</t>
  </si>
  <si>
    <t>Тип</t>
  </si>
  <si>
    <t>Цвет</t>
  </si>
  <si>
    <t>Где красим</t>
  </si>
  <si>
    <t>Общее кол-во краски с учетом слоев</t>
  </si>
  <si>
    <t>Teknos</t>
  </si>
  <si>
    <t>Decke</t>
  </si>
  <si>
    <t>Краска</t>
  </si>
  <si>
    <t>Масло</t>
  </si>
  <si>
    <t>Лак</t>
  </si>
  <si>
    <r>
      <t xml:space="preserve">Фольга алюминиевая  ш.1.2  12 кв.м  (50мкр.), </t>
    </r>
    <r>
      <rPr>
        <b/>
        <u/>
        <sz val="11"/>
        <color theme="1"/>
        <rFont val="Calibri"/>
        <family val="2"/>
        <charset val="204"/>
        <scheme val="minor"/>
      </rPr>
      <t>считаем с запасом 20%!</t>
    </r>
  </si>
  <si>
    <t>Политерм</t>
  </si>
  <si>
    <r>
      <t xml:space="preserve">политерм вместо джута, это поменяется </t>
    </r>
    <r>
      <rPr>
        <b/>
        <u/>
        <sz val="11"/>
        <color theme="1"/>
        <rFont val="Calibri"/>
        <family val="2"/>
        <charset val="204"/>
        <scheme val="minor"/>
      </rPr>
      <t>только в каркасных домах</t>
    </r>
  </si>
  <si>
    <t>Производство</t>
  </si>
  <si>
    <t>Объект</t>
  </si>
  <si>
    <t>Производство/Объект</t>
  </si>
  <si>
    <t>Технология</t>
  </si>
  <si>
    <r>
      <t xml:space="preserve">от "_ _"  </t>
    </r>
    <r>
      <rPr>
        <u/>
        <sz val="11"/>
        <color theme="1"/>
        <rFont val="Calibri"/>
        <family val="2"/>
        <charset val="204"/>
        <scheme val="minor"/>
      </rPr>
      <t>_______</t>
    </r>
    <r>
      <rPr>
        <sz val="11"/>
        <color theme="1"/>
        <rFont val="Calibri"/>
        <family val="2"/>
        <charset val="204"/>
        <scheme val="minor"/>
      </rPr>
      <t xml:space="preserve"> 2021 г.</t>
    </r>
  </si>
  <si>
    <t>50*100*6 2-й сорт</t>
  </si>
  <si>
    <t>50*150*6 2-й сорт</t>
  </si>
  <si>
    <t>Цанга</t>
  </si>
  <si>
    <t>Пароизоляционная пленка 200мркн (300м2)</t>
  </si>
  <si>
    <t>Ондутис Smart А120 (75м2)</t>
  </si>
  <si>
    <t>Базальт</t>
  </si>
  <si>
    <t>Кол-во, м2</t>
  </si>
  <si>
    <t>Нащельник</t>
  </si>
  <si>
    <t>Кол-во, шт</t>
  </si>
  <si>
    <t>Калибровка</t>
  </si>
  <si>
    <t>Обналичка</t>
  </si>
  <si>
    <t>Столбы 150*150*6</t>
  </si>
  <si>
    <t>Ограждение 50*150*6</t>
  </si>
  <si>
    <t>Ограждение 40*50*3</t>
  </si>
  <si>
    <t>Герметик для окон</t>
  </si>
  <si>
    <t>ведро</t>
  </si>
  <si>
    <t>Лента Bauset</t>
  </si>
  <si>
    <t>Скочт ML</t>
  </si>
  <si>
    <t>Скотч DELTA</t>
  </si>
  <si>
    <t>35*140*6 обвязка</t>
  </si>
  <si>
    <t>35*190*6 обвязка</t>
  </si>
  <si>
    <t>35*90*6</t>
  </si>
  <si>
    <t>35*140*6</t>
  </si>
  <si>
    <t>35*190*6</t>
  </si>
  <si>
    <t>Краска на торцы</t>
  </si>
  <si>
    <t>л</t>
  </si>
  <si>
    <t>45*190*6</t>
  </si>
  <si>
    <t>45*140*6</t>
  </si>
  <si>
    <t>45*90*6</t>
  </si>
  <si>
    <t>Водосточная система, металлическая (RAL 9005)</t>
  </si>
  <si>
    <t>GTS, 9,5мм</t>
  </si>
  <si>
    <t>для откосов Рудермана</t>
  </si>
  <si>
    <t>Планкен 145х19- 6м, Сорт АВ (карнизы)</t>
  </si>
  <si>
    <t>Spax 6x120</t>
  </si>
  <si>
    <t>Spax 8x280</t>
  </si>
  <si>
    <t>Spax 8x200</t>
  </si>
  <si>
    <t>Т7057</t>
  </si>
  <si>
    <t>Столбы</t>
  </si>
  <si>
    <t>Крашенный профлист + доборные элементы (RAL 9005)</t>
  </si>
  <si>
    <t>Водосточная система, пластик (белая)</t>
  </si>
  <si>
    <t>Планкен 145х19- 6м, Сорт АВ (наружная отделка)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</si>
</sst>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</numFmts>
  <fonts count="31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family val="2"/>
      <charset val="204"/>
    </font>
    <font>
      <sz val="10"/>
      <name val="Helv"/>
      <charset val="204"/>
    </font>
    <font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1"/>
      <color theme="1"/>
      <name val="Arial"/>
      <family val="2"/>
      <charset val="204"/>
    </font>
    <font>
      <u/>
      <sz val="11"/>
      <color rgb="FF000000"/>
      <name val="Arial"/>
      <family val="2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FBA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F4F4"/>
        <bgColor rgb="FFF4F4F4"/>
      </patternFill>
    </fill>
    <fill>
      <patternFill patternType="solid">
        <fgColor rgb="FF46BDC6"/>
        <bgColor indexed="64"/>
      </patternFill>
    </fill>
    <fill>
      <patternFill patternType="solid">
        <fgColor theme="5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5" fillId="0" borderId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3" fillId="0" borderId="0"/>
  </cellStyleXfs>
  <cellXfs count="6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1" xfId="0" applyFont="1" applyBorder="1"/>
    <xf numFmtId="0" fontId="0" fillId="0" borderId="1" xfId="0" applyBorder="1" applyAlignment="1"/>
    <xf numFmtId="0" fontId="0" fillId="0" borderId="1" xfId="0" applyFill="1" applyBorder="1"/>
    <xf numFmtId="0" fontId="0" fillId="2" borderId="1" xfId="0" applyFill="1" applyBorder="1"/>
    <xf numFmtId="3" fontId="0" fillId="0" borderId="1" xfId="0" applyNumberFormat="1" applyBorder="1"/>
    <xf numFmtId="0" fontId="0" fillId="0" borderId="0" xfId="0" applyBorder="1"/>
    <xf numFmtId="0" fontId="0" fillId="0" borderId="13" xfId="0" applyBorder="1" applyAlignment="1"/>
    <xf numFmtId="0" fontId="0" fillId="0" borderId="2" xfId="0" applyBorder="1" applyAlignment="1"/>
    <xf numFmtId="0" fontId="0" fillId="5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5" borderId="1" xfId="0" applyFill="1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3" fontId="0" fillId="5" borderId="1" xfId="0" applyNumberFormat="1" applyFill="1" applyBorder="1"/>
    <xf numFmtId="0" fontId="0" fillId="5" borderId="1" xfId="0" applyFill="1" applyBorder="1" applyAlignment="1">
      <alignment wrapText="1"/>
    </xf>
    <xf numFmtId="0" fontId="0" fillId="0" borderId="13" xfId="0" applyFill="1" applyBorder="1"/>
    <xf numFmtId="0" fontId="0" fillId="0" borderId="2" xfId="0" applyFill="1" applyBorder="1"/>
    <xf numFmtId="0" fontId="0" fillId="0" borderId="14" xfId="0" applyFill="1" applyBorder="1"/>
    <xf numFmtId="0" fontId="0" fillId="4" borderId="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left"/>
    </xf>
    <xf numFmtId="0" fontId="0" fillId="4" borderId="2" xfId="0" applyFill="1" applyBorder="1" applyAlignment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6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0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8" borderId="13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Border="1"/>
    <xf numFmtId="0" fontId="7" fillId="0" borderId="0" xfId="0" applyFont="1" applyFill="1" applyBorder="1" applyAlignment="1"/>
    <xf numFmtId="0" fontId="11" fillId="0" borderId="13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7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0" borderId="0" xfId="0" applyFont="1" applyBorder="1"/>
    <xf numFmtId="0" fontId="7" fillId="0" borderId="32" xfId="0" applyFont="1" applyBorder="1"/>
    <xf numFmtId="0" fontId="7" fillId="0" borderId="34" xfId="0" applyFont="1" applyBorder="1" applyAlignment="1">
      <alignment horizontal="left"/>
    </xf>
    <xf numFmtId="0" fontId="7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" fontId="0" fillId="11" borderId="3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" fontId="0" fillId="13" borderId="3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8" borderId="34" xfId="0" applyFont="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49" fontId="0" fillId="0" borderId="42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8" borderId="22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10" borderId="23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/>
    </xf>
    <xf numFmtId="1" fontId="0" fillId="7" borderId="12" xfId="0" applyNumberFormat="1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0" borderId="42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1" fontId="0" fillId="15" borderId="12" xfId="0" applyNumberFormat="1" applyFill="1" applyBorder="1" applyAlignment="1">
      <alignment horizontal="center" wrapText="1"/>
    </xf>
    <xf numFmtId="0" fontId="0" fillId="0" borderId="41" xfId="0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166" fontId="0" fillId="16" borderId="1" xfId="0" applyNumberForma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/>
    </xf>
    <xf numFmtId="0" fontId="0" fillId="8" borderId="21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center"/>
    </xf>
    <xf numFmtId="0" fontId="0" fillId="8" borderId="48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8" borderId="12" xfId="0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13" borderId="39" xfId="0" applyFill="1" applyBorder="1" applyAlignment="1">
      <alignment horizontal="center" vertical="center" wrapText="1"/>
    </xf>
    <xf numFmtId="0" fontId="0" fillId="9" borderId="33" xfId="0" applyFont="1" applyFill="1" applyBorder="1" applyAlignment="1">
      <alignment horizontal="center" vertical="center" wrapText="1"/>
    </xf>
    <xf numFmtId="0" fontId="0" fillId="9" borderId="14" xfId="0" applyFont="1" applyFill="1" applyBorder="1" applyAlignment="1">
      <alignment horizontal="center" vertical="center" wrapText="1"/>
    </xf>
    <xf numFmtId="0" fontId="0" fillId="9" borderId="30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8" borderId="18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17" borderId="61" xfId="0" applyFill="1" applyBorder="1" applyAlignment="1">
      <alignment horizontal="center" vertical="center" wrapText="1"/>
    </xf>
    <xf numFmtId="0" fontId="0" fillId="17" borderId="62" xfId="0" applyFill="1" applyBorder="1" applyAlignment="1">
      <alignment horizontal="center" vertical="center" wrapText="1"/>
    </xf>
    <xf numFmtId="0" fontId="0" fillId="17" borderId="38" xfId="0" applyFill="1" applyBorder="1" applyAlignment="1">
      <alignment horizontal="center" vertical="center" wrapText="1"/>
    </xf>
    <xf numFmtId="0" fontId="0" fillId="17" borderId="39" xfId="0" applyFill="1" applyBorder="1" applyAlignment="1">
      <alignment horizontal="center" vertical="center" wrapText="1"/>
    </xf>
    <xf numFmtId="0" fontId="0" fillId="17" borderId="63" xfId="0" applyFill="1" applyBorder="1" applyAlignment="1">
      <alignment horizontal="center" vertical="center" wrapText="1"/>
    </xf>
    <xf numFmtId="0" fontId="0" fillId="17" borderId="64" xfId="0" applyFill="1" applyBorder="1" applyAlignment="1">
      <alignment horizontal="center" vertical="center" wrapText="1"/>
    </xf>
    <xf numFmtId="0" fontId="0" fillId="20" borderId="39" xfId="0" applyFill="1" applyBorder="1" applyAlignment="1">
      <alignment horizontal="center" vertical="center" wrapText="1"/>
    </xf>
    <xf numFmtId="0" fontId="0" fillId="20" borderId="40" xfId="0" applyFill="1" applyBorder="1" applyAlignment="1">
      <alignment horizontal="center" vertical="center" wrapText="1"/>
    </xf>
    <xf numFmtId="0" fontId="0" fillId="18" borderId="37" xfId="0" applyFill="1" applyBorder="1" applyAlignment="1">
      <alignment horizontal="center" vertical="center" wrapText="1"/>
    </xf>
    <xf numFmtId="0" fontId="0" fillId="20" borderId="60" xfId="0" applyFill="1" applyBorder="1" applyAlignment="1">
      <alignment horizontal="center" vertical="center" wrapText="1"/>
    </xf>
    <xf numFmtId="0" fontId="0" fillId="20" borderId="38" xfId="0" applyFill="1" applyBorder="1" applyAlignment="1">
      <alignment horizontal="center" vertical="center" wrapText="1"/>
    </xf>
    <xf numFmtId="0" fontId="0" fillId="17" borderId="65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2" fontId="0" fillId="0" borderId="21" xfId="0" applyNumberFormat="1" applyFill="1" applyBorder="1" applyAlignment="1">
      <alignment horizontal="center" vertical="center" wrapText="1"/>
    </xf>
    <xf numFmtId="2" fontId="0" fillId="0" borderId="8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 wrapText="1"/>
    </xf>
    <xf numFmtId="2" fontId="0" fillId="0" borderId="10" xfId="0" applyNumberFormat="1" applyFill="1" applyBorder="1" applyAlignment="1">
      <alignment horizontal="center" vertical="center"/>
    </xf>
    <xf numFmtId="2" fontId="0" fillId="0" borderId="22" xfId="0" applyNumberFormat="1" applyFill="1" applyBorder="1" applyAlignment="1">
      <alignment horizontal="center" vertical="center" wrapText="1"/>
    </xf>
    <xf numFmtId="2" fontId="0" fillId="0" borderId="11" xfId="0" applyNumberFormat="1" applyFill="1" applyBorder="1" applyAlignment="1">
      <alignment horizontal="center" vertical="center"/>
    </xf>
    <xf numFmtId="0" fontId="0" fillId="21" borderId="37" xfId="0" applyFill="1" applyBorder="1" applyAlignment="1">
      <alignment horizontal="center" vertical="center" wrapText="1"/>
    </xf>
    <xf numFmtId="0" fontId="0" fillId="9" borderId="6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22" borderId="18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0" fillId="21" borderId="66" xfId="0" applyFill="1" applyBorder="1" applyAlignment="1">
      <alignment horizontal="center" vertical="center" wrapText="1"/>
    </xf>
    <xf numFmtId="0" fontId="0" fillId="17" borderId="67" xfId="0" applyFill="1" applyBorder="1" applyAlignment="1">
      <alignment horizontal="center" vertical="center" wrapText="1"/>
    </xf>
    <xf numFmtId="0" fontId="0" fillId="17" borderId="41" xfId="0" applyFill="1" applyBorder="1" applyAlignment="1">
      <alignment horizontal="center" vertical="center" wrapText="1"/>
    </xf>
    <xf numFmtId="0" fontId="0" fillId="17" borderId="68" xfId="0" applyFill="1" applyBorder="1" applyAlignment="1">
      <alignment horizontal="center" vertical="center" wrapText="1"/>
    </xf>
    <xf numFmtId="0" fontId="0" fillId="22" borderId="17" xfId="0" applyFill="1" applyBorder="1" applyAlignment="1">
      <alignment horizontal="center" vertical="center" wrapText="1"/>
    </xf>
    <xf numFmtId="0" fontId="0" fillId="20" borderId="67" xfId="0" applyFill="1" applyBorder="1" applyAlignment="1">
      <alignment horizontal="center" vertical="center" wrapText="1"/>
    </xf>
    <xf numFmtId="0" fontId="0" fillId="20" borderId="41" xfId="0" applyFill="1" applyBorder="1" applyAlignment="1">
      <alignment horizontal="center" vertical="center" wrapText="1"/>
    </xf>
    <xf numFmtId="0" fontId="0" fillId="20" borderId="68" xfId="0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 wrapText="1"/>
    </xf>
    <xf numFmtId="0" fontId="7" fillId="18" borderId="46" xfId="0" applyFont="1" applyFill="1" applyBorder="1" applyAlignment="1">
      <alignment horizontal="center" vertical="center" wrapText="1"/>
    </xf>
    <xf numFmtId="0" fontId="7" fillId="17" borderId="46" xfId="0" applyFont="1" applyFill="1" applyBorder="1" applyAlignment="1">
      <alignment horizontal="center" vertical="center" wrapText="1"/>
    </xf>
    <xf numFmtId="0" fontId="0" fillId="17" borderId="13" xfId="0" applyFill="1" applyBorder="1" applyAlignment="1">
      <alignment horizontal="center"/>
    </xf>
    <xf numFmtId="2" fontId="0" fillId="0" borderId="48" xfId="0" applyNumberFormat="1" applyFill="1" applyBorder="1" applyAlignment="1">
      <alignment horizontal="center" vertical="center"/>
    </xf>
    <xf numFmtId="0" fontId="0" fillId="17" borderId="15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17" borderId="42" xfId="0" applyFill="1" applyBorder="1" applyAlignment="1">
      <alignment horizontal="center"/>
    </xf>
    <xf numFmtId="2" fontId="0" fillId="0" borderId="24" xfId="0" applyNumberForma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2" fontId="0" fillId="0" borderId="5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2" fontId="0" fillId="0" borderId="12" xfId="0" applyNumberFormat="1" applyFill="1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 wrapText="1"/>
    </xf>
    <xf numFmtId="2" fontId="0" fillId="0" borderId="26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2" fontId="0" fillId="0" borderId="55" xfId="0" applyNumberForma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34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/>
    </xf>
    <xf numFmtId="2" fontId="0" fillId="23" borderId="48" xfId="0" applyNumberFormat="1" applyFill="1" applyBorder="1" applyAlignment="1">
      <alignment horizontal="center" vertical="center"/>
    </xf>
    <xf numFmtId="2" fontId="0" fillId="23" borderId="1" xfId="0" applyNumberFormat="1" applyFill="1" applyBorder="1" applyAlignment="1">
      <alignment horizontal="center" vertical="center" wrapText="1"/>
    </xf>
    <xf numFmtId="2" fontId="0" fillId="0" borderId="53" xfId="0" applyNumberFormat="1" applyFill="1" applyBorder="1" applyAlignment="1">
      <alignment horizontal="center" vertical="center" wrapText="1"/>
    </xf>
    <xf numFmtId="2" fontId="0" fillId="23" borderId="1" xfId="0" applyNumberForma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3" borderId="2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 wrapText="1"/>
    </xf>
    <xf numFmtId="0" fontId="0" fillId="8" borderId="38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8" borderId="59" xfId="0" applyFill="1" applyBorder="1" applyAlignment="1">
      <alignment horizontal="center"/>
    </xf>
    <xf numFmtId="2" fontId="0" fillId="14" borderId="58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2" fontId="0" fillId="0" borderId="34" xfId="0" applyNumberFormat="1" applyFill="1" applyBorder="1" applyAlignment="1">
      <alignment horizontal="center" vertical="center"/>
    </xf>
    <xf numFmtId="2" fontId="0" fillId="23" borderId="34" xfId="0" applyNumberFormat="1" applyFill="1" applyBorder="1" applyAlignment="1">
      <alignment horizontal="center" vertical="center"/>
    </xf>
    <xf numFmtId="2" fontId="0" fillId="0" borderId="34" xfId="0" applyNumberFormat="1" applyFill="1" applyBorder="1" applyAlignment="1">
      <alignment horizontal="center" vertical="center" wrapText="1"/>
    </xf>
    <xf numFmtId="2" fontId="0" fillId="0" borderId="47" xfId="0" applyNumberFormat="1" applyFill="1" applyBorder="1" applyAlignment="1">
      <alignment horizontal="center" vertical="center"/>
    </xf>
    <xf numFmtId="2" fontId="0" fillId="0" borderId="58" xfId="0" applyNumberForma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/>
    </xf>
    <xf numFmtId="2" fontId="0" fillId="23" borderId="22" xfId="0" applyNumberForma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2" fontId="0" fillId="14" borderId="54" xfId="0" applyNumberFormat="1" applyFill="1" applyBorder="1" applyAlignment="1">
      <alignment horizontal="center" vertical="center"/>
    </xf>
    <xf numFmtId="2" fontId="0" fillId="14" borderId="12" xfId="0" applyNumberFormat="1" applyFill="1" applyBorder="1" applyAlignment="1">
      <alignment horizontal="center" vertical="center"/>
    </xf>
    <xf numFmtId="2" fontId="0" fillId="23" borderId="21" xfId="0" applyNumberForma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2" fontId="0" fillId="14" borderId="12" xfId="0" applyNumberForma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2" fontId="0" fillId="23" borderId="22" xfId="0" applyNumberFormat="1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2" fontId="0" fillId="0" borderId="3" xfId="0" applyNumberFormat="1" applyFill="1" applyBorder="1" applyAlignment="1">
      <alignment horizontal="center" vertical="center"/>
    </xf>
    <xf numFmtId="2" fontId="0" fillId="23" borderId="3" xfId="0" applyNumberForma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2" fontId="15" fillId="0" borderId="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wrapText="1"/>
    </xf>
    <xf numFmtId="2" fontId="15" fillId="0" borderId="12" xfId="0" applyNumberFormat="1" applyFont="1" applyFill="1" applyBorder="1" applyAlignment="1">
      <alignment horizontal="center" vertical="center"/>
    </xf>
    <xf numFmtId="2" fontId="0" fillId="23" borderId="12" xfId="0" applyNumberFormat="1" applyFill="1" applyBorder="1" applyAlignment="1">
      <alignment horizontal="center" vertical="center"/>
    </xf>
    <xf numFmtId="0" fontId="7" fillId="0" borderId="5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 wrapText="1"/>
    </xf>
    <xf numFmtId="2" fontId="0" fillId="0" borderId="27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2" fontId="0" fillId="0" borderId="0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0" fillId="9" borderId="59" xfId="0" applyFill="1" applyBorder="1" applyAlignment="1">
      <alignment horizontal="center" vertical="center"/>
    </xf>
    <xf numFmtId="2" fontId="0" fillId="9" borderId="59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7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57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" fontId="0" fillId="0" borderId="21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71" xfId="0" applyFill="1" applyBorder="1" applyAlignment="1">
      <alignment horizontal="center" vertical="center" wrapText="1"/>
    </xf>
    <xf numFmtId="0" fontId="0" fillId="0" borderId="67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0" borderId="72" xfId="0" applyFill="1" applyBorder="1" applyAlignment="1">
      <alignment horizontal="center" vertical="center" wrapText="1"/>
    </xf>
    <xf numFmtId="0" fontId="0" fillId="0" borderId="69" xfId="0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center" vertical="center" wrapText="1"/>
    </xf>
    <xf numFmtId="0" fontId="7" fillId="0" borderId="56" xfId="0" applyFont="1" applyFill="1" applyBorder="1" applyAlignment="1">
      <alignment horizontal="center" vertical="center" wrapText="1"/>
    </xf>
    <xf numFmtId="0" fontId="7" fillId="0" borderId="57" xfId="0" applyFont="1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15" fillId="0" borderId="72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top"/>
    </xf>
    <xf numFmtId="0" fontId="21" fillId="0" borderId="0" xfId="0" applyFont="1" applyBorder="1" applyAlignment="1">
      <alignment horizontal="right" vertical="center"/>
    </xf>
    <xf numFmtId="0" fontId="21" fillId="0" borderId="0" xfId="0" applyFont="1" applyBorder="1" applyAlignment="1">
      <alignment horizontal="center" vertical="center"/>
    </xf>
    <xf numFmtId="0" fontId="0" fillId="0" borderId="0" xfId="0" applyAlignment="1"/>
    <xf numFmtId="0" fontId="21" fillId="0" borderId="0" xfId="0" applyFont="1" applyBorder="1" applyAlignment="1">
      <alignment vertical="center"/>
    </xf>
    <xf numFmtId="2" fontId="15" fillId="23" borderId="3" xfId="0" applyNumberFormat="1" applyFont="1" applyFill="1" applyBorder="1" applyAlignment="1">
      <alignment horizontal="center" vertical="center"/>
    </xf>
    <xf numFmtId="2" fontId="15" fillId="23" borderId="1" xfId="0" applyNumberFormat="1" applyFont="1" applyFill="1" applyBorder="1" applyAlignment="1">
      <alignment horizontal="center" vertical="center"/>
    </xf>
    <xf numFmtId="2" fontId="15" fillId="23" borderId="12" xfId="0" applyNumberFormat="1" applyFont="1" applyFill="1" applyBorder="1" applyAlignment="1">
      <alignment horizontal="center" vertical="center"/>
    </xf>
    <xf numFmtId="2" fontId="0" fillId="0" borderId="45" xfId="0" applyNumberFormat="1" applyFill="1" applyBorder="1" applyAlignment="1">
      <alignment horizontal="center" vertical="center" wrapText="1"/>
    </xf>
    <xf numFmtId="2" fontId="15" fillId="0" borderId="71" xfId="0" applyNumberFormat="1" applyFont="1" applyFill="1" applyBorder="1" applyAlignment="1">
      <alignment horizontal="center" vertical="center" wrapText="1"/>
    </xf>
    <xf numFmtId="2" fontId="15" fillId="0" borderId="33" xfId="0" applyNumberFormat="1" applyFont="1" applyFill="1" applyBorder="1" applyAlignment="1">
      <alignment horizontal="center" vertical="center" wrapText="1"/>
    </xf>
    <xf numFmtId="2" fontId="15" fillId="0" borderId="72" xfId="0" applyNumberFormat="1" applyFont="1" applyFill="1" applyBorder="1" applyAlignment="1">
      <alignment horizontal="center" vertical="center" wrapText="1"/>
    </xf>
    <xf numFmtId="2" fontId="0" fillId="0" borderId="46" xfId="0" applyNumberFormat="1" applyFill="1" applyBorder="1" applyAlignment="1">
      <alignment horizontal="center" vertical="center" wrapText="1"/>
    </xf>
    <xf numFmtId="2" fontId="15" fillId="0" borderId="67" xfId="0" applyNumberFormat="1" applyFont="1" applyFill="1" applyBorder="1" applyAlignment="1">
      <alignment horizontal="center" vertical="center" wrapText="1"/>
    </xf>
    <xf numFmtId="2" fontId="15" fillId="0" borderId="51" xfId="0" applyNumberFormat="1" applyFont="1" applyFill="1" applyBorder="1" applyAlignment="1">
      <alignment horizontal="center" vertical="center" wrapText="1"/>
    </xf>
    <xf numFmtId="2" fontId="15" fillId="0" borderId="69" xfId="0" applyNumberFormat="1" applyFont="1" applyFill="1" applyBorder="1" applyAlignment="1">
      <alignment horizontal="center" vertical="center" wrapText="1"/>
    </xf>
    <xf numFmtId="0" fontId="0" fillId="0" borderId="73" xfId="0" applyFill="1" applyBorder="1" applyAlignment="1">
      <alignment horizontal="center" vertical="center" wrapText="1"/>
    </xf>
    <xf numFmtId="0" fontId="7" fillId="9" borderId="3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2" fontId="7" fillId="9" borderId="18" xfId="0" applyNumberFormat="1" applyFont="1" applyFill="1" applyBorder="1" applyAlignment="1">
      <alignment horizontal="center" vertical="center"/>
    </xf>
    <xf numFmtId="2" fontId="7" fillId="9" borderId="18" xfId="0" applyNumberFormat="1" applyFont="1" applyFill="1" applyBorder="1" applyAlignment="1">
      <alignment horizontal="center" vertical="center" wrapText="1"/>
    </xf>
    <xf numFmtId="0" fontId="7" fillId="0" borderId="59" xfId="0" applyFon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19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/>
    <xf numFmtId="0" fontId="0" fillId="23" borderId="3" xfId="0" applyFill="1" applyBorder="1" applyAlignment="1">
      <alignment horizontal="center"/>
    </xf>
    <xf numFmtId="0" fontId="0" fillId="23" borderId="42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2" fontId="0" fillId="3" borderId="12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 wrapText="1"/>
    </xf>
    <xf numFmtId="2" fontId="0" fillId="3" borderId="12" xfId="0" applyNumberForma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/>
    </xf>
    <xf numFmtId="0" fontId="0" fillId="25" borderId="39" xfId="0" applyFill="1" applyBorder="1" applyAlignment="1">
      <alignment horizontal="center" vertical="center" wrapText="1"/>
    </xf>
    <xf numFmtId="0" fontId="0" fillId="25" borderId="41" xfId="0" applyFill="1" applyBorder="1" applyAlignment="1">
      <alignment horizontal="center" vertical="center" wrapText="1"/>
    </xf>
    <xf numFmtId="0" fontId="0" fillId="25" borderId="1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 wrapText="1"/>
    </xf>
    <xf numFmtId="0" fontId="0" fillId="25" borderId="38" xfId="0" applyFill="1" applyBorder="1" applyAlignment="1">
      <alignment horizontal="center"/>
    </xf>
    <xf numFmtId="0" fontId="0" fillId="25" borderId="60" xfId="0" applyFill="1" applyBorder="1" applyAlignment="1">
      <alignment horizontal="center"/>
    </xf>
    <xf numFmtId="0" fontId="0" fillId="25" borderId="65" xfId="0" applyFill="1" applyBorder="1" applyAlignment="1">
      <alignment horizontal="center"/>
    </xf>
    <xf numFmtId="0" fontId="0" fillId="25" borderId="39" xfId="0" applyFill="1" applyBorder="1" applyAlignment="1">
      <alignment horizontal="center"/>
    </xf>
    <xf numFmtId="0" fontId="0" fillId="25" borderId="40" xfId="0" applyFill="1" applyBorder="1" applyAlignment="1">
      <alignment horizontal="center"/>
    </xf>
    <xf numFmtId="0" fontId="0" fillId="25" borderId="42" xfId="0" applyFill="1" applyBorder="1" applyAlignment="1">
      <alignment horizontal="center"/>
    </xf>
    <xf numFmtId="0" fontId="0" fillId="25" borderId="13" xfId="0" applyFill="1" applyBorder="1" applyAlignment="1">
      <alignment horizontal="center"/>
    </xf>
    <xf numFmtId="0" fontId="0" fillId="25" borderId="43" xfId="0" applyFill="1" applyBorder="1" applyAlignment="1">
      <alignment horizontal="center"/>
    </xf>
    <xf numFmtId="2" fontId="0" fillId="3" borderId="21" xfId="0" applyNumberFormat="1" applyFill="1" applyBorder="1" applyAlignment="1">
      <alignment horizontal="center" vertical="center"/>
    </xf>
    <xf numFmtId="2" fontId="0" fillId="3" borderId="22" xfId="0" applyNumberFormat="1" applyFill="1" applyBorder="1" applyAlignment="1">
      <alignment horizontal="center" vertical="center"/>
    </xf>
    <xf numFmtId="0" fontId="0" fillId="3" borderId="21" xfId="0" applyFont="1" applyFill="1" applyBorder="1" applyAlignment="1">
      <alignment horizontal="center"/>
    </xf>
    <xf numFmtId="0" fontId="0" fillId="19" borderId="22" xfId="0" applyFont="1" applyFill="1" applyBorder="1" applyAlignment="1">
      <alignment horizontal="center"/>
    </xf>
    <xf numFmtId="0" fontId="0" fillId="23" borderId="21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2" fontId="0" fillId="14" borderId="3" xfId="0" applyNumberFormat="1" applyFill="1" applyBorder="1" applyAlignment="1">
      <alignment horizontal="center" vertical="center" wrapText="1"/>
    </xf>
    <xf numFmtId="0" fontId="0" fillId="23" borderId="34" xfId="0" applyFill="1" applyBorder="1" applyAlignment="1">
      <alignment horizontal="center" vertical="center" wrapText="1"/>
    </xf>
    <xf numFmtId="0" fontId="0" fillId="25" borderId="0" xfId="0" applyFill="1"/>
    <xf numFmtId="0" fontId="7" fillId="0" borderId="0" xfId="0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/>
    </xf>
    <xf numFmtId="0" fontId="0" fillId="25" borderId="0" xfId="0" applyFill="1" applyBorder="1"/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27" fillId="26" borderId="74" xfId="0" applyFont="1" applyFill="1" applyBorder="1" applyAlignment="1">
      <alignment horizontal="center" vertical="center"/>
    </xf>
    <xf numFmtId="0" fontId="0" fillId="0" borderId="74" xfId="0" applyBorder="1"/>
    <xf numFmtId="0" fontId="0" fillId="0" borderId="74" xfId="0" applyFill="1" applyBorder="1"/>
    <xf numFmtId="0" fontId="0" fillId="0" borderId="76" xfId="0" applyBorder="1"/>
    <xf numFmtId="0" fontId="27" fillId="26" borderId="75" xfId="0" applyFont="1" applyFill="1" applyBorder="1" applyAlignment="1">
      <alignment horizontal="center" vertical="center"/>
    </xf>
    <xf numFmtId="2" fontId="0" fillId="0" borderId="74" xfId="0" applyNumberFormat="1" applyBorder="1"/>
    <xf numFmtId="2" fontId="0" fillId="23" borderId="74" xfId="0" applyNumberFormat="1" applyFill="1" applyBorder="1"/>
    <xf numFmtId="2" fontId="0" fillId="0" borderId="74" xfId="0" applyNumberFormat="1" applyFill="1" applyBorder="1"/>
    <xf numFmtId="2" fontId="0" fillId="0" borderId="76" xfId="0" applyNumberFormat="1" applyBorder="1"/>
    <xf numFmtId="0" fontId="0" fillId="25" borderId="0" xfId="0" applyFill="1" applyAlignment="1"/>
    <xf numFmtId="0" fontId="0" fillId="0" borderId="28" xfId="0" applyBorder="1"/>
    <xf numFmtId="0" fontId="0" fillId="0" borderId="30" xfId="0" applyBorder="1"/>
    <xf numFmtId="0" fontId="0" fillId="0" borderId="32" xfId="0" applyBorder="1"/>
    <xf numFmtId="0" fontId="0" fillId="0" borderId="31" xfId="0" applyBorder="1"/>
    <xf numFmtId="2" fontId="0" fillId="0" borderId="78" xfId="0" applyNumberFormat="1" applyBorder="1"/>
    <xf numFmtId="2" fontId="0" fillId="0" borderId="78" xfId="0" applyNumberFormat="1" applyFill="1" applyBorder="1"/>
    <xf numFmtId="0" fontId="27" fillId="0" borderId="31" xfId="0" applyFont="1" applyBorder="1"/>
    <xf numFmtId="0" fontId="27" fillId="0" borderId="0" xfId="0" applyFont="1" applyBorder="1"/>
    <xf numFmtId="0" fontId="0" fillId="0" borderId="16" xfId="0" applyBorder="1"/>
    <xf numFmtId="0" fontId="0" fillId="0" borderId="29" xfId="0" applyBorder="1"/>
    <xf numFmtId="0" fontId="0" fillId="0" borderId="33" xfId="0" applyBorder="1"/>
    <xf numFmtId="0" fontId="15" fillId="25" borderId="0" xfId="0" applyFont="1" applyFill="1" applyBorder="1" applyAlignment="1"/>
    <xf numFmtId="2" fontId="0" fillId="0" borderId="0" xfId="0" applyNumberFormat="1" applyBorder="1"/>
    <xf numFmtId="0" fontId="0" fillId="0" borderId="10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9" borderId="51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25" xfId="0" applyFill="1" applyBorder="1" applyAlignment="1">
      <alignment horizontal="center" vertical="center"/>
    </xf>
    <xf numFmtId="2" fontId="0" fillId="25" borderId="12" xfId="0" applyNumberFormat="1" applyFill="1" applyBorder="1" applyAlignment="1">
      <alignment horizontal="center" vertical="center"/>
    </xf>
    <xf numFmtId="0" fontId="0" fillId="9" borderId="41" xfId="0" applyFill="1" applyBorder="1" applyAlignment="1">
      <alignment horizontal="left" vertical="center"/>
    </xf>
    <xf numFmtId="0" fontId="27" fillId="26" borderId="75" xfId="0" applyFont="1" applyFill="1" applyBorder="1" applyAlignment="1">
      <alignment horizontal="center" vertical="center"/>
    </xf>
    <xf numFmtId="0" fontId="27" fillId="26" borderId="74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0" fillId="0" borderId="32" xfId="0" applyBorder="1"/>
    <xf numFmtId="0" fontId="0" fillId="0" borderId="31" xfId="0" applyBorder="1"/>
    <xf numFmtId="2" fontId="0" fillId="0" borderId="32" xfId="0" applyNumberFormat="1" applyBorder="1"/>
    <xf numFmtId="0" fontId="0" fillId="23" borderId="0" xfId="0" applyFill="1"/>
    <xf numFmtId="0" fontId="7" fillId="23" borderId="13" xfId="0" applyFont="1" applyFill="1" applyBorder="1" applyAlignment="1">
      <alignment horizontal="right" vertical="center"/>
    </xf>
    <xf numFmtId="0" fontId="7" fillId="23" borderId="1" xfId="0" applyFont="1" applyFill="1" applyBorder="1" applyAlignment="1">
      <alignment horizontal="left" vertical="center"/>
    </xf>
    <xf numFmtId="0" fontId="0" fillId="23" borderId="0" xfId="0" applyFill="1" applyAlignment="1">
      <alignment horizontal="left"/>
    </xf>
    <xf numFmtId="0" fontId="0" fillId="23" borderId="0" xfId="0" applyFill="1" applyAlignment="1">
      <alignment horizontal="center" vertical="center"/>
    </xf>
    <xf numFmtId="0" fontId="0" fillId="9" borderId="49" xfId="0" applyFill="1" applyBorder="1" applyAlignment="1">
      <alignment horizontal="center" vertical="center" wrapText="1"/>
    </xf>
    <xf numFmtId="0" fontId="18" fillId="27" borderId="81" xfId="0" applyFont="1" applyFill="1" applyBorder="1" applyAlignment="1">
      <alignment horizontal="center" vertical="center" wrapText="1"/>
    </xf>
    <xf numFmtId="0" fontId="0" fillId="10" borderId="52" xfId="0" applyFill="1" applyBorder="1" applyAlignment="1">
      <alignment horizontal="center" vertical="center" wrapText="1"/>
    </xf>
    <xf numFmtId="0" fontId="0" fillId="7" borderId="53" xfId="0" applyFill="1" applyBorder="1" applyAlignment="1">
      <alignment horizontal="center"/>
    </xf>
    <xf numFmtId="0" fontId="0" fillId="10" borderId="53" xfId="0" applyFill="1" applyBorder="1" applyAlignment="1">
      <alignment horizontal="center"/>
    </xf>
    <xf numFmtId="0" fontId="0" fillId="23" borderId="53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0" fillId="28" borderId="1" xfId="0" applyFill="1" applyBorder="1"/>
    <xf numFmtId="0" fontId="0" fillId="23" borderId="1" xfId="0" applyFill="1" applyBorder="1"/>
    <xf numFmtId="0" fontId="0" fillId="0" borderId="0" xfId="0" applyFill="1" applyBorder="1"/>
    <xf numFmtId="0" fontId="0" fillId="23" borderId="60" xfId="0" applyFill="1" applyBorder="1" applyAlignment="1">
      <alignment horizontal="center"/>
    </xf>
    <xf numFmtId="0" fontId="18" fillId="27" borderId="82" xfId="0" applyFont="1" applyFill="1" applyBorder="1" applyAlignment="1">
      <alignment horizontal="center" vertical="center" wrapText="1"/>
    </xf>
    <xf numFmtId="0" fontId="18" fillId="27" borderId="18" xfId="0" applyFont="1" applyFill="1" applyBorder="1" applyAlignment="1">
      <alignment horizontal="center" vertical="center" wrapText="1"/>
    </xf>
    <xf numFmtId="0" fontId="0" fillId="23" borderId="0" xfId="0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0" fillId="18" borderId="0" xfId="0" applyFill="1" applyBorder="1" applyAlignment="1">
      <alignment horizontal="center" vertical="center" wrapText="1"/>
    </xf>
    <xf numFmtId="0" fontId="0" fillId="17" borderId="0" xfId="0" applyFill="1" applyBorder="1" applyAlignment="1">
      <alignment horizontal="center" vertical="center" wrapText="1"/>
    </xf>
    <xf numFmtId="0" fontId="0" fillId="20" borderId="0" xfId="0" applyFill="1" applyBorder="1" applyAlignment="1">
      <alignment horizontal="center" vertical="center" wrapText="1"/>
    </xf>
    <xf numFmtId="0" fontId="0" fillId="21" borderId="0" xfId="0" applyFill="1" applyBorder="1" applyAlignment="1">
      <alignment horizontal="center" vertical="center" wrapText="1"/>
    </xf>
    <xf numFmtId="0" fontId="0" fillId="22" borderId="0" xfId="0" applyFill="1" applyBorder="1" applyAlignment="1">
      <alignment horizontal="center" vertical="center" wrapText="1"/>
    </xf>
    <xf numFmtId="0" fontId="7" fillId="17" borderId="0" xfId="0" applyFont="1" applyFill="1" applyBorder="1" applyAlignment="1">
      <alignment horizontal="center" vertical="center" wrapText="1"/>
    </xf>
    <xf numFmtId="0" fontId="18" fillId="27" borderId="83" xfId="0" applyFont="1" applyFill="1" applyBorder="1" applyAlignment="1">
      <alignment horizontal="center" vertical="center" wrapText="1"/>
    </xf>
    <xf numFmtId="0" fontId="18" fillId="27" borderId="84" xfId="0" applyFont="1" applyFill="1" applyBorder="1" applyAlignment="1">
      <alignment horizontal="center" vertical="center" wrapText="1"/>
    </xf>
    <xf numFmtId="0" fontId="18" fillId="27" borderId="85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3" borderId="20" xfId="0" applyFill="1" applyBorder="1" applyAlignment="1">
      <alignment horizontal="center" vertical="center" wrapText="1"/>
    </xf>
    <xf numFmtId="0" fontId="0" fillId="0" borderId="0" xfId="0" applyFill="1" applyBorder="1"/>
    <xf numFmtId="0" fontId="0" fillId="9" borderId="0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7" fillId="4" borderId="13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7" fillId="7" borderId="35" xfId="0" applyFont="1" applyFill="1" applyBorder="1" applyAlignment="1">
      <alignment horizontal="center"/>
    </xf>
    <xf numFmtId="0" fontId="7" fillId="7" borderId="36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7" fillId="7" borderId="66" xfId="0" applyFont="1" applyFill="1" applyBorder="1" applyAlignment="1">
      <alignment horizontal="center"/>
    </xf>
    <xf numFmtId="0" fontId="0" fillId="9" borderId="49" xfId="0" applyFill="1" applyBorder="1" applyAlignment="1">
      <alignment horizontal="center" vertical="center" wrapText="1"/>
    </xf>
    <xf numFmtId="0" fontId="0" fillId="9" borderId="51" xfId="0" applyFill="1" applyBorder="1" applyAlignment="1">
      <alignment horizontal="center" vertical="center" wrapText="1"/>
    </xf>
    <xf numFmtId="0" fontId="0" fillId="9" borderId="50" xfId="0" applyFill="1" applyBorder="1" applyAlignment="1">
      <alignment horizontal="center" vertical="center" wrapText="1"/>
    </xf>
    <xf numFmtId="0" fontId="0" fillId="23" borderId="19" xfId="0" applyFill="1" applyBorder="1" applyAlignment="1">
      <alignment horizontal="center" vertical="center" wrapText="1"/>
    </xf>
    <xf numFmtId="0" fontId="0" fillId="23" borderId="2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7" borderId="70" xfId="0" applyFont="1" applyFill="1" applyBorder="1" applyAlignment="1">
      <alignment horizontal="center"/>
    </xf>
    <xf numFmtId="0" fontId="7" fillId="7" borderId="50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69" xfId="0" applyFont="1" applyFill="1" applyBorder="1" applyAlignment="1">
      <alignment horizontal="center"/>
    </xf>
    <xf numFmtId="0" fontId="7" fillId="7" borderId="52" xfId="0" applyFont="1" applyFill="1" applyBorder="1" applyAlignment="1">
      <alignment horizontal="center"/>
    </xf>
    <xf numFmtId="0" fontId="7" fillId="7" borderId="53" xfId="0" applyFont="1" applyFill="1" applyBorder="1" applyAlignment="1">
      <alignment horizontal="center"/>
    </xf>
    <xf numFmtId="0" fontId="7" fillId="7" borderId="54" xfId="0" applyFont="1" applyFill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12" fillId="0" borderId="15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0" fillId="0" borderId="31" xfId="0" applyBorder="1" applyAlignment="1">
      <alignment horizontal="left"/>
    </xf>
    <xf numFmtId="0" fontId="0" fillId="0" borderId="0" xfId="0" applyBorder="1" applyAlignment="1">
      <alignment horizontal="left"/>
    </xf>
    <xf numFmtId="0" fontId="7" fillId="3" borderId="1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29" fillId="0" borderId="80" xfId="0" applyFont="1" applyFill="1" applyBorder="1"/>
    <xf numFmtId="0" fontId="27" fillId="0" borderId="75" xfId="0" applyFont="1" applyFill="1" applyBorder="1"/>
    <xf numFmtId="0" fontId="28" fillId="0" borderId="80" xfId="0" applyFont="1" applyFill="1" applyBorder="1"/>
    <xf numFmtId="0" fontId="28" fillId="0" borderId="75" xfId="0" applyFont="1" applyFill="1" applyBorder="1"/>
    <xf numFmtId="0" fontId="29" fillId="0" borderId="80" xfId="0" applyFont="1" applyFill="1" applyBorder="1" applyAlignment="1">
      <alignment horizontal="left"/>
    </xf>
    <xf numFmtId="0" fontId="29" fillId="0" borderId="75" xfId="0" applyFont="1" applyFill="1" applyBorder="1" applyAlignment="1">
      <alignment horizontal="left"/>
    </xf>
    <xf numFmtId="0" fontId="27" fillId="0" borderId="75" xfId="0" applyFont="1" applyFill="1" applyBorder="1" applyAlignment="1">
      <alignment horizontal="left"/>
    </xf>
    <xf numFmtId="0" fontId="28" fillId="0" borderId="79" xfId="0" applyFont="1" applyBorder="1"/>
    <xf numFmtId="0" fontId="28" fillId="0" borderId="77" xfId="0" applyFont="1" applyBorder="1"/>
    <xf numFmtId="0" fontId="27" fillId="0" borderId="80" xfId="0" applyFont="1" applyBorder="1"/>
    <xf numFmtId="0" fontId="27" fillId="0" borderId="75" xfId="0" applyFont="1" applyBorder="1"/>
    <xf numFmtId="0" fontId="30" fillId="0" borderId="80" xfId="0" applyFont="1" applyFill="1" applyBorder="1"/>
    <xf numFmtId="0" fontId="0" fillId="0" borderId="0" xfId="0" applyNumberFormat="1" applyBorder="1" applyAlignment="1">
      <alignment horizontal="left"/>
    </xf>
    <xf numFmtId="0" fontId="0" fillId="0" borderId="32" xfId="0" applyNumberFormat="1" applyBorder="1" applyAlignment="1">
      <alignment horizontal="left"/>
    </xf>
    <xf numFmtId="0" fontId="27" fillId="26" borderId="1" xfId="0" applyFont="1" applyFill="1" applyBorder="1" applyAlignment="1">
      <alignment horizontal="center" vertical="center"/>
    </xf>
    <xf numFmtId="0" fontId="27" fillId="26" borderId="75" xfId="0" applyFont="1" applyFill="1" applyBorder="1" applyAlignment="1">
      <alignment horizontal="center" vertical="center"/>
    </xf>
    <xf numFmtId="0" fontId="27" fillId="26" borderId="74" xfId="0" applyFont="1" applyFill="1" applyBorder="1" applyAlignment="1">
      <alignment horizontal="center" vertical="center"/>
    </xf>
    <xf numFmtId="0" fontId="27" fillId="26" borderId="78" xfId="0" applyFont="1" applyFill="1" applyBorder="1" applyAlignment="1">
      <alignment horizontal="center" vertical="center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14" fontId="0" fillId="0" borderId="0" xfId="0" applyNumberFormat="1" applyFill="1" applyBorder="1" applyAlignment="1">
      <alignment horizontal="left"/>
    </xf>
    <xf numFmtId="14" fontId="0" fillId="0" borderId="32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Fill="1" applyBorder="1"/>
    <xf numFmtId="0" fontId="0" fillId="0" borderId="32" xfId="0" applyFill="1" applyBorder="1"/>
    <xf numFmtId="0" fontId="26" fillId="0" borderId="31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0" fillId="23" borderId="0" xfId="0" applyFill="1" applyBorder="1" applyAlignment="1">
      <alignment horizontal="left"/>
    </xf>
    <xf numFmtId="0" fontId="0" fillId="23" borderId="32" xfId="0" applyFill="1" applyBorder="1" applyAlignment="1">
      <alignment horizontal="left"/>
    </xf>
    <xf numFmtId="0" fontId="0" fillId="0" borderId="32" xfId="0" applyBorder="1" applyAlignment="1">
      <alignment horizontal="left"/>
    </xf>
    <xf numFmtId="0" fontId="16" fillId="9" borderId="5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7" fillId="9" borderId="73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9" borderId="46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wrapText="1"/>
    </xf>
    <xf numFmtId="2" fontId="0" fillId="23" borderId="0" xfId="0" applyNumberFormat="1" applyFill="1" applyAlignment="1">
      <alignment horizontal="center" wrapText="1"/>
    </xf>
    <xf numFmtId="0" fontId="24" fillId="23" borderId="0" xfId="0" applyFont="1" applyFill="1" applyBorder="1" applyAlignment="1">
      <alignment horizontal="center" vertical="center"/>
    </xf>
    <xf numFmtId="0" fontId="20" fillId="23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16" fillId="9" borderId="5" xfId="0" applyNumberFormat="1" applyFont="1" applyFill="1" applyBorder="1" applyAlignment="1">
      <alignment horizontal="center" vertical="center" wrapText="1"/>
    </xf>
    <xf numFmtId="2" fontId="16" fillId="9" borderId="17" xfId="0" applyNumberFormat="1" applyFont="1" applyFill="1" applyBorder="1" applyAlignment="1">
      <alignment horizontal="center" vertical="center" wrapText="1"/>
    </xf>
    <xf numFmtId="2" fontId="7" fillId="9" borderId="5" xfId="0" applyNumberFormat="1" applyFont="1" applyFill="1" applyBorder="1" applyAlignment="1">
      <alignment horizontal="center" vertical="center" wrapText="1"/>
    </xf>
    <xf numFmtId="2" fontId="7" fillId="9" borderId="17" xfId="0" applyNumberFormat="1" applyFont="1" applyFill="1" applyBorder="1" applyAlignment="1">
      <alignment horizontal="center" vertical="center" wrapText="1"/>
    </xf>
    <xf numFmtId="2" fontId="7" fillId="9" borderId="45" xfId="0" applyNumberFormat="1" applyFont="1" applyFill="1" applyBorder="1" applyAlignment="1">
      <alignment horizontal="center" vertical="center" wrapText="1"/>
    </xf>
    <xf numFmtId="2" fontId="7" fillId="9" borderId="46" xfId="0" applyNumberFormat="1" applyFont="1" applyFill="1" applyBorder="1" applyAlignment="1">
      <alignment horizontal="center" vertical="center" wrapText="1"/>
    </xf>
  </cellXfs>
  <cellStyles count="8">
    <cellStyle name="Денежный 5" xfId="1" xr:uid="{00000000-0005-0000-0000-000000000000}"/>
    <cellStyle name="Обычный" xfId="0" builtinId="0"/>
    <cellStyle name="Обычный 2" xfId="2" xr:uid="{00000000-0005-0000-0000-000002000000}"/>
    <cellStyle name="Обычный 3" xfId="7" xr:uid="{00000000-0005-0000-0000-000003000000}"/>
    <cellStyle name="Процентный 2" xfId="3" xr:uid="{00000000-0005-0000-0000-000004000000}"/>
    <cellStyle name="Стиль 1" xfId="4" xr:uid="{00000000-0005-0000-0000-000005000000}"/>
    <cellStyle name="Финансовый 2" xfId="5" xr:uid="{00000000-0005-0000-0000-000006000000}"/>
    <cellStyle name="Финансовый 5 2" xfId="6" xr:uid="{00000000-0005-0000-0000-000007000000}"/>
  </cellStyles>
  <dxfs count="0"/>
  <tableStyles count="0" defaultTableStyle="TableStyleMedium2" defaultPivotStyle="PivotStyleLight16"/>
  <colors>
    <mruColors>
      <color rgb="FFDBFBA7"/>
      <color rgb="FFFF6D7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0</xdr:rowOff>
    </xdr:from>
    <xdr:to>
      <xdr:col>0</xdr:col>
      <xdr:colOff>1693544</xdr:colOff>
      <xdr:row>5</xdr:row>
      <xdr:rowOff>200024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B93EF74-D61C-4F9A-98F5-49676C5C9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182880"/>
          <a:ext cx="1685924" cy="1685924"/>
        </a:xfrm>
        <a:prstGeom prst="rect">
          <a:avLst/>
        </a:prstGeom>
      </xdr:spPr>
    </xdr:pic>
    <xdr:clientData/>
  </xdr:twoCellAnchor>
  <xdr:twoCellAnchor>
    <xdr:from>
      <xdr:col>8</xdr:col>
      <xdr:colOff>7620</xdr:colOff>
      <xdr:row>1</xdr:row>
      <xdr:rowOff>0</xdr:rowOff>
    </xdr:from>
    <xdr:to>
      <xdr:col>8</xdr:col>
      <xdr:colOff>1693544</xdr:colOff>
      <xdr:row>5</xdr:row>
      <xdr:rowOff>200024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3BA0963-2612-45D6-B7C9-ED5C8762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0"/>
          <a:ext cx="1685924" cy="168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3"/>
  <sheetViews>
    <sheetView topLeftCell="A340" zoomScaleNormal="100" workbookViewId="0">
      <selection activeCell="I84" sqref="I84"/>
    </sheetView>
  </sheetViews>
  <sheetFormatPr defaultColWidth="9.140625" defaultRowHeight="15" x14ac:dyDescent="0.25"/>
  <cols>
    <col min="1" max="1" width="44.140625" style="4" customWidth="1"/>
    <col min="2" max="2" width="12.85546875" style="4" customWidth="1"/>
    <col min="3" max="3" width="16.140625" style="4" customWidth="1"/>
    <col min="4" max="4" width="12.28515625" style="4" customWidth="1"/>
    <col min="5" max="5" width="9.140625" style="4" customWidth="1"/>
    <col min="6" max="6" width="17.7109375" style="4" customWidth="1"/>
    <col min="7" max="7" width="19.28515625" style="4" customWidth="1"/>
    <col min="8" max="16384" width="9.140625" style="4"/>
  </cols>
  <sheetData>
    <row r="1" spans="1:5" x14ac:dyDescent="0.25">
      <c r="A1" s="7" t="s">
        <v>17</v>
      </c>
      <c r="B1" s="7" t="s">
        <v>18</v>
      </c>
      <c r="C1" s="7" t="s">
        <v>19</v>
      </c>
      <c r="D1" s="7" t="s">
        <v>20</v>
      </c>
      <c r="E1" s="5" t="s">
        <v>21</v>
      </c>
    </row>
    <row r="2" spans="1:5" x14ac:dyDescent="0.25">
      <c r="A2" s="501" t="s">
        <v>22</v>
      </c>
      <c r="B2" s="502"/>
      <c r="C2" s="502"/>
      <c r="D2" s="502"/>
      <c r="E2" s="502"/>
    </row>
    <row r="3" spans="1:5" x14ac:dyDescent="0.25">
      <c r="A3" s="498" t="s">
        <v>23</v>
      </c>
      <c r="B3" s="499"/>
      <c r="C3" s="499"/>
      <c r="D3" s="499"/>
      <c r="E3" s="499"/>
    </row>
    <row r="4" spans="1:5" x14ac:dyDescent="0.25">
      <c r="A4" s="5" t="s">
        <v>24</v>
      </c>
      <c r="B4" s="5" t="s">
        <v>1</v>
      </c>
      <c r="C4" s="5"/>
      <c r="D4" s="5">
        <v>1000</v>
      </c>
      <c r="E4" s="5">
        <v>1200</v>
      </c>
    </row>
    <row r="5" spans="1:5" x14ac:dyDescent="0.25">
      <c r="A5" s="6" t="s">
        <v>25</v>
      </c>
      <c r="B5" s="5" t="s">
        <v>26</v>
      </c>
      <c r="C5" s="5" t="s">
        <v>27</v>
      </c>
      <c r="D5" s="5">
        <v>1250</v>
      </c>
      <c r="E5" s="5">
        <v>1500</v>
      </c>
    </row>
    <row r="6" spans="1:5" x14ac:dyDescent="0.25">
      <c r="A6" s="6" t="s">
        <v>28</v>
      </c>
      <c r="B6" s="5" t="s">
        <v>0</v>
      </c>
      <c r="C6" s="5"/>
      <c r="D6" s="5">
        <v>30</v>
      </c>
      <c r="E6" s="5">
        <v>36</v>
      </c>
    </row>
    <row r="7" spans="1:5" x14ac:dyDescent="0.25">
      <c r="A7" s="6" t="s">
        <v>29</v>
      </c>
      <c r="B7" s="5" t="s">
        <v>0</v>
      </c>
      <c r="C7" s="5"/>
      <c r="D7" s="5">
        <v>20</v>
      </c>
      <c r="E7" s="5">
        <v>24</v>
      </c>
    </row>
    <row r="8" spans="1:5" x14ac:dyDescent="0.25">
      <c r="A8" s="6" t="s">
        <v>30</v>
      </c>
      <c r="B8" s="5" t="s">
        <v>0</v>
      </c>
      <c r="C8" s="5"/>
      <c r="D8" s="5">
        <v>16</v>
      </c>
      <c r="E8" s="5">
        <v>19.2</v>
      </c>
    </row>
    <row r="9" spans="1:5" x14ac:dyDescent="0.25">
      <c r="A9" s="6" t="s">
        <v>31</v>
      </c>
      <c r="B9" s="5" t="s">
        <v>4</v>
      </c>
      <c r="C9" s="5"/>
      <c r="D9" s="5">
        <v>15</v>
      </c>
      <c r="E9" s="5">
        <v>18</v>
      </c>
    </row>
    <row r="10" spans="1:5" x14ac:dyDescent="0.25">
      <c r="A10" s="5" t="s">
        <v>32</v>
      </c>
      <c r="B10" s="5" t="s">
        <v>1</v>
      </c>
      <c r="C10" s="5" t="s">
        <v>33</v>
      </c>
      <c r="D10" s="5">
        <v>667</v>
      </c>
      <c r="E10" s="5">
        <v>800.4</v>
      </c>
    </row>
    <row r="11" spans="1:5" x14ac:dyDescent="0.25">
      <c r="A11" s="5" t="s">
        <v>34</v>
      </c>
      <c r="B11" s="5" t="s">
        <v>1</v>
      </c>
      <c r="C11" s="5" t="s">
        <v>35</v>
      </c>
      <c r="D11" s="5">
        <v>1553</v>
      </c>
      <c r="E11" s="5">
        <v>1863.6</v>
      </c>
    </row>
    <row r="12" spans="1:5" x14ac:dyDescent="0.25">
      <c r="A12" s="5" t="s">
        <v>36</v>
      </c>
      <c r="B12" s="5" t="s">
        <v>1</v>
      </c>
      <c r="C12" s="5" t="s">
        <v>37</v>
      </c>
      <c r="D12" s="5">
        <v>476</v>
      </c>
      <c r="E12" s="5">
        <v>571.19999999999993</v>
      </c>
    </row>
    <row r="13" spans="1:5" x14ac:dyDescent="0.25">
      <c r="A13" s="5" t="s">
        <v>38</v>
      </c>
      <c r="B13" s="5" t="s">
        <v>1</v>
      </c>
      <c r="C13" s="5" t="s">
        <v>39</v>
      </c>
      <c r="D13" s="5">
        <v>3500</v>
      </c>
      <c r="E13" s="5">
        <v>4200</v>
      </c>
    </row>
    <row r="14" spans="1:5" x14ac:dyDescent="0.25">
      <c r="A14" s="5" t="s">
        <v>40</v>
      </c>
      <c r="B14" s="5" t="s">
        <v>41</v>
      </c>
      <c r="C14" s="5"/>
      <c r="D14" s="5">
        <v>15</v>
      </c>
      <c r="E14" s="5">
        <v>18</v>
      </c>
    </row>
    <row r="15" spans="1:5" x14ac:dyDescent="0.25">
      <c r="A15" s="5" t="s">
        <v>42</v>
      </c>
      <c r="B15" s="5" t="s">
        <v>41</v>
      </c>
      <c r="C15" s="5"/>
      <c r="D15" s="5">
        <v>19</v>
      </c>
      <c r="E15" s="5">
        <v>22.8</v>
      </c>
    </row>
    <row r="16" spans="1:5" x14ac:dyDescent="0.25">
      <c r="A16" s="5" t="s">
        <v>43</v>
      </c>
      <c r="B16" s="5" t="s">
        <v>44</v>
      </c>
      <c r="C16" s="5"/>
      <c r="D16" s="5">
        <v>25</v>
      </c>
      <c r="E16" s="5">
        <v>30</v>
      </c>
    </row>
    <row r="17" spans="1:8" x14ac:dyDescent="0.25">
      <c r="A17" s="5" t="s">
        <v>45</v>
      </c>
      <c r="B17" s="5" t="s">
        <v>44</v>
      </c>
      <c r="C17" s="5"/>
      <c r="D17" s="5">
        <v>10</v>
      </c>
      <c r="E17" s="5">
        <v>12</v>
      </c>
    </row>
    <row r="18" spans="1:8" x14ac:dyDescent="0.25">
      <c r="A18" s="5" t="s">
        <v>46</v>
      </c>
      <c r="B18" s="5" t="s">
        <v>41</v>
      </c>
      <c r="C18" s="5"/>
      <c r="D18" s="5">
        <v>15</v>
      </c>
      <c r="E18" s="5">
        <v>18</v>
      </c>
    </row>
    <row r="19" spans="1:8" x14ac:dyDescent="0.25">
      <c r="A19" s="5" t="s">
        <v>47</v>
      </c>
      <c r="B19" s="5" t="s">
        <v>41</v>
      </c>
      <c r="C19" s="5"/>
      <c r="D19" s="5">
        <v>22</v>
      </c>
      <c r="E19" s="5">
        <v>26.4</v>
      </c>
    </row>
    <row r="20" spans="1:8" x14ac:dyDescent="0.25">
      <c r="A20" s="5" t="s">
        <v>48</v>
      </c>
      <c r="B20" s="5" t="s">
        <v>41</v>
      </c>
      <c r="C20" s="5"/>
      <c r="D20" s="5">
        <v>30</v>
      </c>
      <c r="E20" s="5">
        <v>36</v>
      </c>
    </row>
    <row r="21" spans="1:8" x14ac:dyDescent="0.25">
      <c r="A21" s="10" t="s">
        <v>49</v>
      </c>
      <c r="B21" s="10" t="s">
        <v>50</v>
      </c>
      <c r="C21" s="10" t="s">
        <v>51</v>
      </c>
      <c r="D21" s="10">
        <v>90</v>
      </c>
      <c r="E21" s="5">
        <v>108</v>
      </c>
    </row>
    <row r="22" spans="1:8" x14ac:dyDescent="0.25">
      <c r="A22" s="8" t="s">
        <v>52</v>
      </c>
      <c r="B22" s="8" t="s">
        <v>1</v>
      </c>
      <c r="C22" s="8" t="s">
        <v>53</v>
      </c>
      <c r="D22" s="8">
        <v>4000</v>
      </c>
      <c r="E22" s="5">
        <v>4800</v>
      </c>
    </row>
    <row r="23" spans="1:8" x14ac:dyDescent="0.25">
      <c r="A23" s="5" t="s">
        <v>54</v>
      </c>
      <c r="B23" s="5" t="s">
        <v>55</v>
      </c>
      <c r="C23" s="5" t="s">
        <v>56</v>
      </c>
      <c r="D23" s="5">
        <v>700</v>
      </c>
      <c r="E23" s="5">
        <v>840</v>
      </c>
    </row>
    <row r="24" spans="1:8" x14ac:dyDescent="0.25">
      <c r="A24" s="5" t="s">
        <v>57</v>
      </c>
      <c r="B24" s="5" t="s">
        <v>58</v>
      </c>
      <c r="C24" s="5"/>
      <c r="D24" s="5">
        <v>5000</v>
      </c>
      <c r="E24" s="5">
        <v>6000</v>
      </c>
    </row>
    <row r="25" spans="1:8" x14ac:dyDescent="0.25">
      <c r="A25" s="5" t="s">
        <v>59</v>
      </c>
      <c r="B25" s="5" t="s">
        <v>60</v>
      </c>
      <c r="C25" s="5" t="s">
        <v>61</v>
      </c>
      <c r="D25" s="5">
        <v>1600</v>
      </c>
      <c r="E25" s="5">
        <v>1920</v>
      </c>
    </row>
    <row r="26" spans="1:8" x14ac:dyDescent="0.25">
      <c r="A26" s="8" t="s">
        <v>62</v>
      </c>
      <c r="B26" s="8"/>
      <c r="C26" s="8"/>
      <c r="D26" s="8"/>
      <c r="E26" s="5">
        <v>0</v>
      </c>
    </row>
    <row r="27" spans="1:8" x14ac:dyDescent="0.25">
      <c r="A27" s="5" t="s">
        <v>63</v>
      </c>
      <c r="B27" s="5" t="s">
        <v>0</v>
      </c>
      <c r="C27" s="5"/>
      <c r="D27" s="5">
        <v>41</v>
      </c>
      <c r="E27" s="5">
        <v>60</v>
      </c>
      <c r="G27" s="16"/>
      <c r="H27" s="16"/>
    </row>
    <row r="28" spans="1:8" x14ac:dyDescent="0.25">
      <c r="A28" s="5" t="s">
        <v>64</v>
      </c>
      <c r="B28" s="5" t="s">
        <v>65</v>
      </c>
      <c r="C28" s="5" t="s">
        <v>66</v>
      </c>
      <c r="D28" s="5">
        <v>90</v>
      </c>
      <c r="E28" s="5">
        <v>108</v>
      </c>
      <c r="G28" s="16"/>
      <c r="H28" s="16"/>
    </row>
    <row r="29" spans="1:8" x14ac:dyDescent="0.25">
      <c r="A29" s="5" t="s">
        <v>67</v>
      </c>
      <c r="B29" s="5" t="s">
        <v>0</v>
      </c>
      <c r="C29" s="5" t="s">
        <v>68</v>
      </c>
      <c r="D29" s="5">
        <v>350</v>
      </c>
      <c r="E29" s="5">
        <v>420</v>
      </c>
      <c r="G29" s="16"/>
      <c r="H29" s="16"/>
    </row>
    <row r="30" spans="1:8" x14ac:dyDescent="0.25">
      <c r="A30" s="504" t="s">
        <v>69</v>
      </c>
      <c r="B30" s="505"/>
      <c r="C30" s="505"/>
      <c r="D30" s="505"/>
      <c r="E30" s="506"/>
      <c r="F30" s="23" t="s">
        <v>384</v>
      </c>
      <c r="G30" s="17"/>
      <c r="H30" s="16"/>
    </row>
    <row r="31" spans="1:8" x14ac:dyDescent="0.25">
      <c r="A31" s="31" t="s">
        <v>408</v>
      </c>
      <c r="B31" s="29"/>
      <c r="C31" s="29"/>
      <c r="D31" s="32">
        <v>41</v>
      </c>
      <c r="E31" s="30"/>
      <c r="F31" s="23"/>
      <c r="G31" s="17"/>
      <c r="H31" s="16"/>
    </row>
    <row r="32" spans="1:8" x14ac:dyDescent="0.25">
      <c r="A32" s="18" t="s">
        <v>70</v>
      </c>
      <c r="B32" s="18" t="s">
        <v>0</v>
      </c>
      <c r="C32" s="18" t="s">
        <v>71</v>
      </c>
      <c r="D32" s="18">
        <v>1400</v>
      </c>
      <c r="E32" s="18">
        <v>1680</v>
      </c>
      <c r="F32" s="1">
        <v>800</v>
      </c>
      <c r="G32" s="17"/>
      <c r="H32" s="16"/>
    </row>
    <row r="33" spans="1:8" x14ac:dyDescent="0.25">
      <c r="A33" s="18" t="s">
        <v>72</v>
      </c>
      <c r="B33" s="18" t="s">
        <v>0</v>
      </c>
      <c r="C33" s="18" t="s">
        <v>73</v>
      </c>
      <c r="D33" s="18">
        <v>1500</v>
      </c>
      <c r="E33" s="18">
        <v>1800</v>
      </c>
      <c r="F33" s="1">
        <v>800</v>
      </c>
      <c r="G33" s="17"/>
      <c r="H33" s="16"/>
    </row>
    <row r="34" spans="1:8" x14ac:dyDescent="0.25">
      <c r="A34" s="18" t="s">
        <v>74</v>
      </c>
      <c r="B34" s="18" t="s">
        <v>0</v>
      </c>
      <c r="C34" s="18" t="s">
        <v>75</v>
      </c>
      <c r="D34" s="18">
        <v>1700</v>
      </c>
      <c r="E34" s="18">
        <v>2040</v>
      </c>
      <c r="F34" s="1">
        <v>1000</v>
      </c>
      <c r="G34" s="17"/>
      <c r="H34" s="16"/>
    </row>
    <row r="35" spans="1:8" x14ac:dyDescent="0.25">
      <c r="A35" s="10" t="s">
        <v>381</v>
      </c>
      <c r="B35" s="10" t="s">
        <v>382</v>
      </c>
      <c r="C35" s="10"/>
      <c r="D35" s="10">
        <v>250</v>
      </c>
      <c r="E35" s="10">
        <v>300</v>
      </c>
      <c r="F35" s="1">
        <v>100</v>
      </c>
      <c r="G35" s="17"/>
      <c r="H35" s="16"/>
    </row>
    <row r="36" spans="1:8" x14ac:dyDescent="0.25">
      <c r="A36" s="10" t="s">
        <v>383</v>
      </c>
      <c r="B36" s="10" t="s">
        <v>382</v>
      </c>
      <c r="C36" s="10"/>
      <c r="D36" s="10">
        <v>250</v>
      </c>
      <c r="E36" s="10">
        <v>300</v>
      </c>
      <c r="F36" s="1">
        <v>150</v>
      </c>
      <c r="G36" s="17"/>
      <c r="H36" s="16"/>
    </row>
    <row r="37" spans="1:8" x14ac:dyDescent="0.25">
      <c r="A37" s="10" t="s">
        <v>385</v>
      </c>
      <c r="B37" s="10" t="s">
        <v>382</v>
      </c>
      <c r="C37" s="10"/>
      <c r="D37" s="10">
        <v>600</v>
      </c>
      <c r="E37" s="10">
        <v>720</v>
      </c>
      <c r="F37" s="1">
        <v>300</v>
      </c>
      <c r="G37" s="17"/>
      <c r="H37" s="16"/>
    </row>
    <row r="38" spans="1:8" x14ac:dyDescent="0.25">
      <c r="A38" s="501" t="s">
        <v>362</v>
      </c>
      <c r="B38" s="502"/>
      <c r="C38" s="502"/>
      <c r="D38" s="502"/>
      <c r="E38" s="503"/>
      <c r="G38" s="16"/>
      <c r="H38" s="16"/>
    </row>
    <row r="39" spans="1:8" x14ac:dyDescent="0.25">
      <c r="A39" s="18" t="s">
        <v>76</v>
      </c>
      <c r="B39" s="18" t="s">
        <v>0</v>
      </c>
      <c r="C39" s="18">
        <v>6500</v>
      </c>
      <c r="D39" s="18">
        <f>C39*0.2*0.2*6</f>
        <v>1560</v>
      </c>
      <c r="E39" s="18">
        <f>D39*1.2</f>
        <v>1872</v>
      </c>
      <c r="G39" s="16"/>
      <c r="H39" s="16"/>
    </row>
    <row r="40" spans="1:8" x14ac:dyDescent="0.25">
      <c r="A40" s="18" t="s">
        <v>77</v>
      </c>
      <c r="B40" s="18" t="s">
        <v>0</v>
      </c>
      <c r="C40" s="18">
        <v>6500</v>
      </c>
      <c r="D40" s="18">
        <f>C40*0.2*0.15*6</f>
        <v>1170</v>
      </c>
      <c r="E40" s="18">
        <f t="shared" ref="E40:E52" si="0">D40*1.2</f>
        <v>1404</v>
      </c>
      <c r="G40" s="16"/>
      <c r="H40" s="16"/>
    </row>
    <row r="41" spans="1:8" x14ac:dyDescent="0.25">
      <c r="A41" s="18" t="s">
        <v>78</v>
      </c>
      <c r="B41" s="18" t="s">
        <v>0</v>
      </c>
      <c r="C41" s="18">
        <v>6500</v>
      </c>
      <c r="D41" s="18">
        <f>C41*0.2*0.1*6</f>
        <v>780</v>
      </c>
      <c r="E41" s="18">
        <f t="shared" si="0"/>
        <v>936</v>
      </c>
      <c r="G41" s="16"/>
      <c r="H41" s="16"/>
    </row>
    <row r="42" spans="1:8" x14ac:dyDescent="0.25">
      <c r="A42" s="18" t="s">
        <v>79</v>
      </c>
      <c r="B42" s="18" t="s">
        <v>0</v>
      </c>
      <c r="C42" s="18">
        <v>6500</v>
      </c>
      <c r="D42" s="18">
        <f>C42*0.2*0.05*6</f>
        <v>390</v>
      </c>
      <c r="E42" s="18">
        <f t="shared" si="0"/>
        <v>468</v>
      </c>
    </row>
    <row r="43" spans="1:8" x14ac:dyDescent="0.25">
      <c r="A43" s="18" t="s">
        <v>80</v>
      </c>
      <c r="B43" s="18" t="s">
        <v>0</v>
      </c>
      <c r="C43" s="18">
        <v>6500</v>
      </c>
      <c r="D43" s="18">
        <f>C43*0.15*0.15*6</f>
        <v>877.5</v>
      </c>
      <c r="E43" s="18">
        <f t="shared" si="0"/>
        <v>1053</v>
      </c>
    </row>
    <row r="44" spans="1:8" x14ac:dyDescent="0.25">
      <c r="A44" s="18" t="s">
        <v>81</v>
      </c>
      <c r="B44" s="18" t="s">
        <v>0</v>
      </c>
      <c r="C44" s="18">
        <v>6500</v>
      </c>
      <c r="D44" s="18">
        <f>C44*0.1*0.15*6</f>
        <v>585</v>
      </c>
      <c r="E44" s="18">
        <f t="shared" si="0"/>
        <v>702</v>
      </c>
    </row>
    <row r="45" spans="1:8" x14ac:dyDescent="0.25">
      <c r="A45" s="18" t="s">
        <v>82</v>
      </c>
      <c r="B45" s="18" t="s">
        <v>0</v>
      </c>
      <c r="C45" s="18">
        <v>6500</v>
      </c>
      <c r="D45" s="18">
        <f>C45*0.05*0.15*6</f>
        <v>292.5</v>
      </c>
      <c r="E45" s="18">
        <f t="shared" si="0"/>
        <v>351</v>
      </c>
    </row>
    <row r="46" spans="1:8" x14ac:dyDescent="0.25">
      <c r="A46" s="18" t="s">
        <v>83</v>
      </c>
      <c r="B46" s="18" t="s">
        <v>0</v>
      </c>
      <c r="C46" s="18">
        <v>6500</v>
      </c>
      <c r="D46" s="18">
        <f>C46*0.025*0.15*6</f>
        <v>146.25</v>
      </c>
      <c r="E46" s="18">
        <f t="shared" si="0"/>
        <v>175.5</v>
      </c>
    </row>
    <row r="47" spans="1:8" x14ac:dyDescent="0.25">
      <c r="A47" s="18" t="s">
        <v>84</v>
      </c>
      <c r="B47" s="18" t="s">
        <v>0</v>
      </c>
      <c r="C47" s="18">
        <v>6500</v>
      </c>
      <c r="D47" s="18">
        <f>C47*0.1*0.1*6</f>
        <v>390</v>
      </c>
      <c r="E47" s="18">
        <f t="shared" si="0"/>
        <v>468</v>
      </c>
    </row>
    <row r="48" spans="1:8" x14ac:dyDescent="0.25">
      <c r="A48" s="18" t="s">
        <v>85</v>
      </c>
      <c r="B48" s="18" t="s">
        <v>0</v>
      </c>
      <c r="C48" s="18">
        <v>6500</v>
      </c>
      <c r="D48" s="18">
        <f>C48*0.05*0.1*6</f>
        <v>195</v>
      </c>
      <c r="E48" s="18">
        <f t="shared" si="0"/>
        <v>234</v>
      </c>
    </row>
    <row r="49" spans="1:8" x14ac:dyDescent="0.25">
      <c r="A49" s="18" t="s">
        <v>86</v>
      </c>
      <c r="B49" s="18" t="s">
        <v>0</v>
      </c>
      <c r="C49" s="18">
        <v>6500</v>
      </c>
      <c r="D49" s="18">
        <f>C49*0.025*0.1*6</f>
        <v>97.5</v>
      </c>
      <c r="E49" s="18">
        <f t="shared" si="0"/>
        <v>117</v>
      </c>
      <c r="F49" s="18"/>
      <c r="G49" s="15" t="s">
        <v>4</v>
      </c>
      <c r="H49" s="15">
        <f>D49/0.6</f>
        <v>162.5</v>
      </c>
    </row>
    <row r="50" spans="1:8" x14ac:dyDescent="0.25">
      <c r="A50" s="5" t="s">
        <v>87</v>
      </c>
      <c r="B50" s="5" t="s">
        <v>0</v>
      </c>
      <c r="C50" s="5">
        <v>6500</v>
      </c>
      <c r="D50" s="5">
        <f>C50*0.05*0.05*6</f>
        <v>97.5</v>
      </c>
      <c r="E50" s="5">
        <f t="shared" si="0"/>
        <v>117</v>
      </c>
    </row>
    <row r="51" spans="1:8" x14ac:dyDescent="0.25">
      <c r="A51" s="5" t="s">
        <v>88</v>
      </c>
      <c r="B51" s="5" t="s">
        <v>0</v>
      </c>
      <c r="C51" s="5">
        <v>6500</v>
      </c>
      <c r="D51" s="5">
        <f>C51*0.025*0.05*6</f>
        <v>48.75</v>
      </c>
      <c r="E51" s="5">
        <f t="shared" si="0"/>
        <v>58.5</v>
      </c>
    </row>
    <row r="52" spans="1:8" x14ac:dyDescent="0.25">
      <c r="A52" s="5" t="s">
        <v>409</v>
      </c>
      <c r="B52" s="5" t="s">
        <v>0</v>
      </c>
      <c r="C52" s="5">
        <v>6500</v>
      </c>
      <c r="D52" s="5">
        <f>C52*0.04*0.05*6</f>
        <v>78</v>
      </c>
      <c r="E52" s="5">
        <f t="shared" si="0"/>
        <v>93.6</v>
      </c>
    </row>
    <row r="53" spans="1:8" x14ac:dyDescent="0.25">
      <c r="A53" s="18" t="s">
        <v>400</v>
      </c>
      <c r="B53" s="18"/>
      <c r="C53" s="18">
        <v>11000</v>
      </c>
      <c r="D53" s="18"/>
      <c r="E53" s="18"/>
    </row>
    <row r="54" spans="1:8" x14ac:dyDescent="0.25">
      <c r="A54" s="501" t="s">
        <v>363</v>
      </c>
      <c r="B54" s="502"/>
      <c r="C54" s="502"/>
      <c r="D54" s="502"/>
      <c r="E54" s="503"/>
    </row>
    <row r="55" spans="1:8" x14ac:dyDescent="0.25">
      <c r="A55" s="18" t="s">
        <v>89</v>
      </c>
      <c r="B55" s="18" t="s">
        <v>0</v>
      </c>
      <c r="C55" s="18"/>
      <c r="D55" s="18">
        <v>120</v>
      </c>
      <c r="E55" s="18">
        <v>144</v>
      </c>
    </row>
    <row r="56" spans="1:8" x14ac:dyDescent="0.25">
      <c r="A56" s="5" t="s">
        <v>90</v>
      </c>
      <c r="B56" s="5" t="s">
        <v>0</v>
      </c>
      <c r="C56" s="5"/>
      <c r="D56" s="5">
        <v>100</v>
      </c>
      <c r="E56" s="5">
        <v>120</v>
      </c>
    </row>
    <row r="57" spans="1:8" x14ac:dyDescent="0.25">
      <c r="A57" s="5" t="s">
        <v>91</v>
      </c>
      <c r="B57" s="5" t="s">
        <v>0</v>
      </c>
      <c r="C57" s="5"/>
      <c r="D57" s="5">
        <v>900</v>
      </c>
      <c r="E57" s="5">
        <v>1080</v>
      </c>
    </row>
    <row r="58" spans="1:8" x14ac:dyDescent="0.25">
      <c r="A58" s="5" t="s">
        <v>92</v>
      </c>
      <c r="B58" s="5" t="s">
        <v>0</v>
      </c>
      <c r="C58" s="5"/>
      <c r="D58" s="5">
        <v>1200</v>
      </c>
      <c r="E58" s="5">
        <v>1440</v>
      </c>
    </row>
    <row r="59" spans="1:8" x14ac:dyDescent="0.25">
      <c r="A59" s="5" t="s">
        <v>93</v>
      </c>
      <c r="B59" s="5" t="s">
        <v>0</v>
      </c>
      <c r="C59" s="5"/>
      <c r="D59" s="5">
        <v>100</v>
      </c>
      <c r="E59" s="5">
        <v>120</v>
      </c>
    </row>
    <row r="60" spans="1:8" x14ac:dyDescent="0.25">
      <c r="A60" s="5" t="s">
        <v>94</v>
      </c>
      <c r="B60" s="5" t="s">
        <v>0</v>
      </c>
      <c r="C60" s="5"/>
      <c r="D60" s="5">
        <v>160</v>
      </c>
      <c r="E60" s="5">
        <v>192</v>
      </c>
    </row>
    <row r="61" spans="1:8" x14ac:dyDescent="0.25">
      <c r="A61" s="5" t="s">
        <v>95</v>
      </c>
      <c r="B61" s="5" t="s">
        <v>0</v>
      </c>
      <c r="C61" s="5"/>
      <c r="D61" s="5">
        <v>230</v>
      </c>
      <c r="E61" s="5">
        <v>276</v>
      </c>
    </row>
    <row r="63" spans="1:8" x14ac:dyDescent="0.25">
      <c r="A63" s="5" t="s">
        <v>97</v>
      </c>
      <c r="B63" s="5" t="s">
        <v>0</v>
      </c>
      <c r="C63" s="5"/>
      <c r="D63" s="5">
        <v>780</v>
      </c>
      <c r="E63" s="5">
        <v>936</v>
      </c>
    </row>
    <row r="64" spans="1:8" x14ac:dyDescent="0.25">
      <c r="A64" s="5" t="s">
        <v>98</v>
      </c>
      <c r="B64" s="5" t="s">
        <v>0</v>
      </c>
      <c r="C64" s="5"/>
      <c r="D64" s="5">
        <v>1200</v>
      </c>
      <c r="E64" s="5">
        <v>1440</v>
      </c>
    </row>
    <row r="65" spans="1:5" x14ac:dyDescent="0.25">
      <c r="A65" s="501" t="s">
        <v>99</v>
      </c>
      <c r="B65" s="502"/>
      <c r="C65" s="502"/>
      <c r="D65" s="502"/>
      <c r="E65" s="503"/>
    </row>
    <row r="66" spans="1:5" x14ac:dyDescent="0.25">
      <c r="A66" s="18" t="s">
        <v>100</v>
      </c>
      <c r="B66" s="18" t="s">
        <v>4</v>
      </c>
      <c r="C66" s="15">
        <v>500</v>
      </c>
      <c r="D66" s="18">
        <f>C66/3.125</f>
        <v>160</v>
      </c>
      <c r="E66" s="18">
        <v>600</v>
      </c>
    </row>
    <row r="67" spans="1:5" x14ac:dyDescent="0.25">
      <c r="A67" s="5" t="s">
        <v>101</v>
      </c>
      <c r="B67" s="5" t="s">
        <v>4</v>
      </c>
      <c r="C67" s="3">
        <v>700</v>
      </c>
      <c r="D67" s="5">
        <f t="shared" ref="D67:D72" si="1">C67/3.125</f>
        <v>224</v>
      </c>
      <c r="E67" s="5">
        <v>840</v>
      </c>
    </row>
    <row r="68" spans="1:5" x14ac:dyDescent="0.25">
      <c r="A68" s="18" t="s">
        <v>102</v>
      </c>
      <c r="B68" s="18" t="s">
        <v>4</v>
      </c>
      <c r="C68" s="15">
        <v>1050</v>
      </c>
      <c r="D68" s="18">
        <f t="shared" si="1"/>
        <v>336</v>
      </c>
      <c r="E68" s="18">
        <v>1260</v>
      </c>
    </row>
    <row r="69" spans="1:5" x14ac:dyDescent="0.25">
      <c r="A69" s="5" t="s">
        <v>103</v>
      </c>
      <c r="B69" s="5" t="s">
        <v>4</v>
      </c>
      <c r="C69" s="3">
        <v>1280</v>
      </c>
      <c r="D69" s="5">
        <f t="shared" si="1"/>
        <v>409.6</v>
      </c>
      <c r="E69" s="5">
        <v>1536</v>
      </c>
    </row>
    <row r="70" spans="1:5" x14ac:dyDescent="0.25">
      <c r="A70" s="18" t="s">
        <v>104</v>
      </c>
      <c r="B70" s="18" t="s">
        <v>4</v>
      </c>
      <c r="C70" s="15">
        <v>399</v>
      </c>
      <c r="D70" s="18">
        <f>C70/3.75</f>
        <v>106.4</v>
      </c>
      <c r="E70" s="18">
        <v>478.79999999999995</v>
      </c>
    </row>
    <row r="71" spans="1:5" x14ac:dyDescent="0.25">
      <c r="A71" s="5" t="s">
        <v>105</v>
      </c>
      <c r="B71" s="5" t="s">
        <v>4</v>
      </c>
      <c r="C71" s="3">
        <v>415</v>
      </c>
      <c r="D71" s="5">
        <f t="shared" si="1"/>
        <v>132.80000000000001</v>
      </c>
      <c r="E71" s="5">
        <v>498</v>
      </c>
    </row>
    <row r="72" spans="1:5" x14ac:dyDescent="0.25">
      <c r="A72" s="18" t="s">
        <v>106</v>
      </c>
      <c r="B72" s="18" t="s">
        <v>4</v>
      </c>
      <c r="C72" s="15">
        <v>481</v>
      </c>
      <c r="D72" s="18">
        <f t="shared" si="1"/>
        <v>153.91999999999999</v>
      </c>
      <c r="E72" s="18">
        <v>577.19999999999993</v>
      </c>
    </row>
    <row r="73" spans="1:5" x14ac:dyDescent="0.25">
      <c r="A73" s="5" t="s">
        <v>107</v>
      </c>
      <c r="B73" s="5" t="s">
        <v>4</v>
      </c>
      <c r="C73" s="3">
        <v>620</v>
      </c>
      <c r="D73" s="5">
        <f>C73/3.375</f>
        <v>183.7037037037037</v>
      </c>
      <c r="E73" s="5">
        <v>744</v>
      </c>
    </row>
    <row r="74" spans="1:5" x14ac:dyDescent="0.25">
      <c r="A74" s="18" t="s">
        <v>108</v>
      </c>
      <c r="B74" s="18" t="s">
        <v>4</v>
      </c>
      <c r="C74" s="15">
        <v>747</v>
      </c>
      <c r="D74" s="18">
        <f t="shared" ref="D74:D78" si="2">C74/3.375</f>
        <v>221.33333333333334</v>
      </c>
      <c r="E74" s="18">
        <v>896.4</v>
      </c>
    </row>
    <row r="75" spans="1:5" x14ac:dyDescent="0.25">
      <c r="A75" s="5" t="s">
        <v>109</v>
      </c>
      <c r="B75" s="5" t="s">
        <v>4</v>
      </c>
      <c r="C75" s="3">
        <v>850</v>
      </c>
      <c r="D75" s="5">
        <f t="shared" si="2"/>
        <v>251.85185185185185</v>
      </c>
      <c r="E75" s="5">
        <v>1020</v>
      </c>
    </row>
    <row r="76" spans="1:5" x14ac:dyDescent="0.25">
      <c r="A76" s="18" t="s">
        <v>110</v>
      </c>
      <c r="B76" s="18" t="s">
        <v>4</v>
      </c>
      <c r="C76" s="15">
        <v>1010</v>
      </c>
      <c r="D76" s="18">
        <f t="shared" si="2"/>
        <v>299.25925925925924</v>
      </c>
      <c r="E76" s="18">
        <v>1212</v>
      </c>
    </row>
    <row r="77" spans="1:5" x14ac:dyDescent="0.25">
      <c r="A77" s="5" t="s">
        <v>111</v>
      </c>
      <c r="B77" s="5" t="s">
        <v>4</v>
      </c>
      <c r="C77" s="3">
        <v>1220</v>
      </c>
      <c r="D77" s="5">
        <f t="shared" si="2"/>
        <v>361.48148148148147</v>
      </c>
      <c r="E77" s="5">
        <v>1464</v>
      </c>
    </row>
    <row r="78" spans="1:5" x14ac:dyDescent="0.25">
      <c r="A78" s="5" t="s">
        <v>112</v>
      </c>
      <c r="B78" s="5" t="s">
        <v>4</v>
      </c>
      <c r="C78" s="3">
        <v>1410</v>
      </c>
      <c r="D78" s="5">
        <f t="shared" si="2"/>
        <v>417.77777777777777</v>
      </c>
      <c r="E78" s="5">
        <v>1692</v>
      </c>
    </row>
    <row r="79" spans="1:5" x14ac:dyDescent="0.25">
      <c r="A79" s="18" t="s">
        <v>113</v>
      </c>
      <c r="B79" s="18" t="s">
        <v>4</v>
      </c>
      <c r="C79" s="15">
        <v>600</v>
      </c>
      <c r="D79" s="18">
        <f>C79/2.32</f>
        <v>258.62068965517244</v>
      </c>
      <c r="E79" s="18"/>
    </row>
    <row r="80" spans="1:5" x14ac:dyDescent="0.25">
      <c r="A80" s="5" t="s">
        <v>113</v>
      </c>
      <c r="B80" s="5" t="s">
        <v>4</v>
      </c>
      <c r="C80" s="3">
        <v>435</v>
      </c>
      <c r="D80" s="5">
        <f>C80/2.32</f>
        <v>187.5</v>
      </c>
      <c r="E80" s="5">
        <v>522</v>
      </c>
    </row>
    <row r="81" spans="1:5" x14ac:dyDescent="0.25">
      <c r="A81" s="5" t="s">
        <v>114</v>
      </c>
      <c r="B81" s="5" t="s">
        <v>4</v>
      </c>
      <c r="C81" s="3">
        <v>169</v>
      </c>
      <c r="D81" s="5">
        <f>C81/3.3</f>
        <v>51.212121212121218</v>
      </c>
      <c r="E81" s="5">
        <v>202.79999999999998</v>
      </c>
    </row>
    <row r="82" spans="1:5" x14ac:dyDescent="0.25">
      <c r="A82" s="5" t="s">
        <v>115</v>
      </c>
      <c r="B82" s="5" t="s">
        <v>4</v>
      </c>
      <c r="C82" s="3">
        <v>215</v>
      </c>
      <c r="D82" s="5">
        <f t="shared" ref="D82" si="3">C82/3</f>
        <v>71.666666666666671</v>
      </c>
      <c r="E82" s="5">
        <v>258</v>
      </c>
    </row>
    <row r="83" spans="1:5" x14ac:dyDescent="0.25">
      <c r="A83" s="5" t="s">
        <v>116</v>
      </c>
      <c r="B83" s="5" t="s">
        <v>4</v>
      </c>
      <c r="C83" s="3">
        <v>300</v>
      </c>
      <c r="D83" s="5">
        <f>C83/3</f>
        <v>100</v>
      </c>
      <c r="E83" s="5">
        <v>360</v>
      </c>
    </row>
    <row r="84" spans="1:5" x14ac:dyDescent="0.25">
      <c r="A84" s="18" t="s">
        <v>117</v>
      </c>
      <c r="B84" s="18" t="s">
        <v>4</v>
      </c>
      <c r="C84" s="18"/>
      <c r="D84" s="18">
        <v>200</v>
      </c>
      <c r="E84" s="18">
        <v>240</v>
      </c>
    </row>
    <row r="85" spans="1:5" x14ac:dyDescent="0.25">
      <c r="A85" s="18" t="s">
        <v>118</v>
      </c>
      <c r="B85" s="18" t="s">
        <v>4</v>
      </c>
      <c r="C85" s="18"/>
      <c r="D85" s="18">
        <v>220</v>
      </c>
      <c r="E85" s="18">
        <v>264</v>
      </c>
    </row>
    <row r="86" spans="1:5" x14ac:dyDescent="0.25">
      <c r="A86" s="18" t="s">
        <v>119</v>
      </c>
      <c r="B86" s="18" t="s">
        <v>4</v>
      </c>
      <c r="C86" s="18"/>
      <c r="D86" s="18">
        <v>130</v>
      </c>
      <c r="E86" s="18">
        <v>156</v>
      </c>
    </row>
    <row r="87" spans="1:5" x14ac:dyDescent="0.25">
      <c r="A87" s="18" t="s">
        <v>120</v>
      </c>
      <c r="B87" s="18" t="s">
        <v>4</v>
      </c>
      <c r="C87" s="18"/>
      <c r="D87" s="18">
        <v>230</v>
      </c>
      <c r="E87" s="18">
        <v>300</v>
      </c>
    </row>
    <row r="88" spans="1:5" x14ac:dyDescent="0.25">
      <c r="A88" s="9" t="s">
        <v>404</v>
      </c>
      <c r="B88" s="9" t="s">
        <v>4</v>
      </c>
      <c r="C88" s="9"/>
      <c r="D88" s="9">
        <v>250</v>
      </c>
      <c r="E88" s="9">
        <v>330</v>
      </c>
    </row>
    <row r="89" spans="1:5" x14ac:dyDescent="0.25">
      <c r="A89" s="5" t="s">
        <v>121</v>
      </c>
      <c r="B89" s="5" t="s">
        <v>4</v>
      </c>
      <c r="C89" s="5"/>
      <c r="D89" s="5">
        <v>205</v>
      </c>
      <c r="E89" s="5">
        <v>246</v>
      </c>
    </row>
    <row r="90" spans="1:5" x14ac:dyDescent="0.25">
      <c r="A90" s="18" t="s">
        <v>122</v>
      </c>
      <c r="B90" s="18" t="s">
        <v>4</v>
      </c>
      <c r="C90" s="18"/>
      <c r="D90" s="18">
        <v>380</v>
      </c>
      <c r="E90" s="18">
        <v>456</v>
      </c>
    </row>
    <row r="91" spans="1:5" x14ac:dyDescent="0.25">
      <c r="A91" s="5" t="s">
        <v>123</v>
      </c>
      <c r="B91" s="5" t="s">
        <v>4</v>
      </c>
      <c r="C91" s="5"/>
      <c r="D91" s="5">
        <v>450</v>
      </c>
      <c r="E91" s="5">
        <v>540</v>
      </c>
    </row>
    <row r="92" spans="1:5" x14ac:dyDescent="0.25">
      <c r="A92" s="5" t="s">
        <v>124</v>
      </c>
      <c r="B92" s="5" t="s">
        <v>4</v>
      </c>
      <c r="C92" s="5"/>
      <c r="D92" s="5">
        <v>500</v>
      </c>
      <c r="E92" s="5">
        <v>600</v>
      </c>
    </row>
    <row r="93" spans="1:5" x14ac:dyDescent="0.25">
      <c r="A93" s="5" t="s">
        <v>125</v>
      </c>
      <c r="B93" s="5" t="s">
        <v>4</v>
      </c>
      <c r="C93" s="5"/>
      <c r="D93" s="5">
        <v>580</v>
      </c>
      <c r="E93" s="5">
        <v>696</v>
      </c>
    </row>
    <row r="94" spans="1:5" x14ac:dyDescent="0.25">
      <c r="A94" s="5" t="s">
        <v>126</v>
      </c>
      <c r="B94" s="5" t="s">
        <v>4</v>
      </c>
      <c r="C94" s="5"/>
      <c r="D94" s="5">
        <v>500</v>
      </c>
      <c r="E94" s="5">
        <v>600</v>
      </c>
    </row>
    <row r="95" spans="1:5" x14ac:dyDescent="0.25">
      <c r="A95" s="5" t="s">
        <v>127</v>
      </c>
      <c r="B95" s="5" t="s">
        <v>4</v>
      </c>
      <c r="C95" s="5"/>
      <c r="D95" s="5">
        <v>380</v>
      </c>
      <c r="E95" s="5">
        <v>456</v>
      </c>
    </row>
    <row r="96" spans="1:5" x14ac:dyDescent="0.25">
      <c r="A96" s="5" t="s">
        <v>128</v>
      </c>
      <c r="B96" s="5" t="s">
        <v>4</v>
      </c>
      <c r="C96" s="5"/>
      <c r="D96" s="5">
        <v>360</v>
      </c>
      <c r="E96" s="5">
        <v>432</v>
      </c>
    </row>
    <row r="97" spans="1:7" x14ac:dyDescent="0.25">
      <c r="A97" s="18" t="s">
        <v>412</v>
      </c>
      <c r="B97" s="18" t="s">
        <v>0</v>
      </c>
      <c r="C97" s="18" t="s">
        <v>96</v>
      </c>
      <c r="D97" s="18">
        <v>430</v>
      </c>
      <c r="E97" s="18">
        <v>516</v>
      </c>
    </row>
    <row r="98" spans="1:7" x14ac:dyDescent="0.25">
      <c r="A98" s="18" t="s">
        <v>410</v>
      </c>
      <c r="B98" s="18" t="s">
        <v>4</v>
      </c>
      <c r="C98" s="18" t="s">
        <v>129</v>
      </c>
      <c r="D98" s="18">
        <v>380</v>
      </c>
      <c r="E98" s="18">
        <v>456</v>
      </c>
    </row>
    <row r="99" spans="1:7" x14ac:dyDescent="0.25">
      <c r="A99" s="18" t="s">
        <v>411</v>
      </c>
      <c r="B99" s="18" t="s">
        <v>4</v>
      </c>
      <c r="C99" s="18" t="s">
        <v>130</v>
      </c>
      <c r="D99" s="18">
        <v>445</v>
      </c>
      <c r="E99" s="18">
        <v>534</v>
      </c>
    </row>
    <row r="100" spans="1:7" x14ac:dyDescent="0.25">
      <c r="A100" s="501" t="s">
        <v>131</v>
      </c>
      <c r="B100" s="502"/>
      <c r="C100" s="502"/>
      <c r="D100" s="502"/>
      <c r="E100" s="503"/>
    </row>
    <row r="101" spans="1:7" x14ac:dyDescent="0.25">
      <c r="A101" s="5" t="s">
        <v>132</v>
      </c>
      <c r="B101" s="5" t="s">
        <v>4</v>
      </c>
      <c r="C101" s="5" t="s">
        <v>133</v>
      </c>
      <c r="D101" s="11" t="s">
        <v>134</v>
      </c>
      <c r="E101" s="5" t="s">
        <v>135</v>
      </c>
      <c r="F101" s="5"/>
      <c r="G101" s="5">
        <v>265</v>
      </c>
    </row>
    <row r="102" spans="1:7" x14ac:dyDescent="0.25">
      <c r="A102" s="18" t="s">
        <v>132</v>
      </c>
      <c r="B102" s="18" t="s">
        <v>4</v>
      </c>
      <c r="C102" s="18" t="s">
        <v>136</v>
      </c>
      <c r="D102" s="24" t="s">
        <v>137</v>
      </c>
      <c r="E102" s="18" t="s">
        <v>138</v>
      </c>
      <c r="F102" s="18"/>
      <c r="G102" s="18">
        <v>270</v>
      </c>
    </row>
    <row r="103" spans="1:7" x14ac:dyDescent="0.25">
      <c r="A103" s="5" t="s">
        <v>132</v>
      </c>
      <c r="B103" s="5" t="s">
        <v>4</v>
      </c>
      <c r="C103" s="5" t="s">
        <v>139</v>
      </c>
      <c r="D103" s="11" t="s">
        <v>140</v>
      </c>
      <c r="E103" s="5" t="s">
        <v>141</v>
      </c>
      <c r="F103" s="5"/>
      <c r="G103" s="5">
        <v>2500</v>
      </c>
    </row>
    <row r="104" spans="1:7" x14ac:dyDescent="0.25">
      <c r="A104" s="5" t="s">
        <v>142</v>
      </c>
      <c r="B104" s="5" t="s">
        <v>4</v>
      </c>
      <c r="C104" s="5" t="s">
        <v>143</v>
      </c>
      <c r="D104" s="5" t="s">
        <v>144</v>
      </c>
      <c r="E104" s="5" t="s">
        <v>145</v>
      </c>
      <c r="F104" s="5"/>
      <c r="G104" s="5">
        <v>400</v>
      </c>
    </row>
    <row r="105" spans="1:7" x14ac:dyDescent="0.25">
      <c r="A105" s="5" t="s">
        <v>142</v>
      </c>
      <c r="B105" s="5" t="s">
        <v>4</v>
      </c>
      <c r="C105" s="5" t="s">
        <v>146</v>
      </c>
      <c r="D105" s="5" t="s">
        <v>147</v>
      </c>
      <c r="E105" s="5" t="s">
        <v>148</v>
      </c>
      <c r="F105" s="5"/>
      <c r="G105" s="5">
        <v>415</v>
      </c>
    </row>
    <row r="106" spans="1:7" x14ac:dyDescent="0.25">
      <c r="A106" s="5" t="s">
        <v>142</v>
      </c>
      <c r="B106" s="5" t="s">
        <v>4</v>
      </c>
      <c r="C106" s="5" t="s">
        <v>149</v>
      </c>
      <c r="D106" s="5" t="s">
        <v>150</v>
      </c>
      <c r="E106" s="5" t="s">
        <v>151</v>
      </c>
      <c r="F106" s="5"/>
      <c r="G106" s="5">
        <v>425</v>
      </c>
    </row>
    <row r="107" spans="1:7" x14ac:dyDescent="0.25">
      <c r="A107" s="18" t="s">
        <v>142</v>
      </c>
      <c r="B107" s="18" t="s">
        <v>4</v>
      </c>
      <c r="C107" s="18" t="s">
        <v>152</v>
      </c>
      <c r="D107" s="18" t="s">
        <v>153</v>
      </c>
      <c r="E107" s="18" t="s">
        <v>154</v>
      </c>
      <c r="F107" s="18"/>
      <c r="G107" s="18">
        <v>445</v>
      </c>
    </row>
    <row r="108" spans="1:7" x14ac:dyDescent="0.25">
      <c r="A108" s="6" t="s">
        <v>155</v>
      </c>
      <c r="B108" s="5" t="s">
        <v>4</v>
      </c>
      <c r="C108" s="5" t="s">
        <v>156</v>
      </c>
      <c r="D108" s="5" t="s">
        <v>157</v>
      </c>
      <c r="E108" s="5" t="s">
        <v>158</v>
      </c>
      <c r="F108" s="5"/>
      <c r="G108" s="5">
        <v>620</v>
      </c>
    </row>
    <row r="109" spans="1:7" x14ac:dyDescent="0.25">
      <c r="A109" s="25" t="s">
        <v>155</v>
      </c>
      <c r="B109" s="18" t="s">
        <v>4</v>
      </c>
      <c r="C109" s="18" t="s">
        <v>159</v>
      </c>
      <c r="D109" s="18" t="s">
        <v>160</v>
      </c>
      <c r="E109" s="18" t="s">
        <v>158</v>
      </c>
      <c r="F109" s="18"/>
      <c r="G109" s="18">
        <v>620</v>
      </c>
    </row>
    <row r="110" spans="1:7" x14ac:dyDescent="0.25">
      <c r="A110" s="6" t="s">
        <v>155</v>
      </c>
      <c r="B110" s="5" t="s">
        <v>4</v>
      </c>
      <c r="C110" s="5" t="s">
        <v>139</v>
      </c>
      <c r="D110" s="5" t="s">
        <v>161</v>
      </c>
      <c r="E110" s="5" t="s">
        <v>162</v>
      </c>
      <c r="F110" s="5"/>
      <c r="G110" s="5">
        <v>750</v>
      </c>
    </row>
    <row r="111" spans="1:7" x14ac:dyDescent="0.25">
      <c r="A111" s="519" t="s">
        <v>163</v>
      </c>
      <c r="B111" s="520"/>
      <c r="C111" s="520"/>
      <c r="D111" s="520"/>
      <c r="E111" s="521"/>
    </row>
    <row r="112" spans="1:7" x14ac:dyDescent="0.25">
      <c r="A112" s="522" t="s">
        <v>9</v>
      </c>
      <c r="B112" s="523"/>
      <c r="C112" s="523"/>
      <c r="D112" s="523"/>
      <c r="E112" s="524"/>
    </row>
    <row r="113" spans="1:5" ht="30" x14ac:dyDescent="0.25">
      <c r="A113" s="6" t="s">
        <v>164</v>
      </c>
      <c r="B113" s="5" t="s">
        <v>4</v>
      </c>
      <c r="C113" s="5" t="s">
        <v>165</v>
      </c>
      <c r="D113" s="5">
        <v>1800</v>
      </c>
      <c r="E113" s="5">
        <v>2160</v>
      </c>
    </row>
    <row r="114" spans="1:5" ht="45" x14ac:dyDescent="0.25">
      <c r="A114" s="6" t="s">
        <v>166</v>
      </c>
      <c r="B114" s="5" t="s">
        <v>4</v>
      </c>
      <c r="C114" s="5"/>
      <c r="D114" s="5">
        <v>2000</v>
      </c>
      <c r="E114" s="5">
        <v>2400</v>
      </c>
    </row>
    <row r="115" spans="1:5" x14ac:dyDescent="0.25">
      <c r="A115" s="498" t="s">
        <v>10</v>
      </c>
      <c r="B115" s="499"/>
      <c r="C115" s="499"/>
      <c r="D115" s="499"/>
      <c r="E115" s="500"/>
    </row>
    <row r="116" spans="1:5" ht="30" x14ac:dyDescent="0.25">
      <c r="A116" s="6" t="s">
        <v>164</v>
      </c>
      <c r="B116" s="5" t="s">
        <v>4</v>
      </c>
      <c r="C116" s="5"/>
      <c r="D116" s="5">
        <v>2000</v>
      </c>
      <c r="E116" s="5">
        <v>2400</v>
      </c>
    </row>
    <row r="117" spans="1:5" ht="45" x14ac:dyDescent="0.25">
      <c r="A117" s="6" t="s">
        <v>166</v>
      </c>
      <c r="B117" s="5" t="s">
        <v>4</v>
      </c>
      <c r="C117" s="5"/>
      <c r="D117" s="5">
        <v>2200</v>
      </c>
      <c r="E117" s="5">
        <v>2640</v>
      </c>
    </row>
    <row r="118" spans="1:5" x14ac:dyDescent="0.25">
      <c r="A118" s="501" t="s">
        <v>167</v>
      </c>
      <c r="B118" s="502"/>
      <c r="C118" s="502"/>
      <c r="D118" s="502"/>
      <c r="E118" s="503"/>
    </row>
    <row r="119" spans="1:5" x14ac:dyDescent="0.25">
      <c r="A119" s="18" t="s">
        <v>168</v>
      </c>
      <c r="B119" s="18" t="s">
        <v>1</v>
      </c>
      <c r="C119" s="18"/>
      <c r="D119" s="18">
        <v>850</v>
      </c>
      <c r="E119" s="18">
        <v>1020</v>
      </c>
    </row>
    <row r="120" spans="1:5" x14ac:dyDescent="0.25">
      <c r="A120" s="18" t="s">
        <v>413</v>
      </c>
      <c r="B120" s="18" t="s">
        <v>1</v>
      </c>
      <c r="C120" s="18" t="s">
        <v>169</v>
      </c>
      <c r="D120" s="18">
        <v>1050</v>
      </c>
      <c r="E120" s="18">
        <v>1260</v>
      </c>
    </row>
    <row r="121" spans="1:5" x14ac:dyDescent="0.25">
      <c r="A121" s="18" t="s">
        <v>414</v>
      </c>
      <c r="B121" s="18" t="s">
        <v>1</v>
      </c>
      <c r="C121" s="18" t="s">
        <v>170</v>
      </c>
      <c r="D121" s="18">
        <v>1500</v>
      </c>
      <c r="E121" s="18">
        <v>1800</v>
      </c>
    </row>
    <row r="122" spans="1:5" x14ac:dyDescent="0.25">
      <c r="A122" s="5" t="s">
        <v>171</v>
      </c>
      <c r="B122" s="5" t="s">
        <v>4</v>
      </c>
      <c r="C122" s="5"/>
      <c r="D122" s="5" t="s">
        <v>172</v>
      </c>
      <c r="E122" s="5" t="s">
        <v>173</v>
      </c>
    </row>
    <row r="123" spans="1:5" x14ac:dyDescent="0.25">
      <c r="A123" s="5" t="s">
        <v>174</v>
      </c>
      <c r="B123" s="5" t="s">
        <v>0</v>
      </c>
      <c r="C123" s="5" t="s">
        <v>175</v>
      </c>
      <c r="D123" s="5">
        <v>158</v>
      </c>
      <c r="E123" s="5">
        <v>189.6</v>
      </c>
    </row>
    <row r="124" spans="1:5" x14ac:dyDescent="0.25">
      <c r="A124" s="5" t="s">
        <v>176</v>
      </c>
      <c r="B124" s="5" t="s">
        <v>0</v>
      </c>
      <c r="C124" s="5"/>
      <c r="D124" s="5">
        <v>320</v>
      </c>
      <c r="E124" s="5">
        <v>384</v>
      </c>
    </row>
    <row r="125" spans="1:5" x14ac:dyDescent="0.25">
      <c r="A125" s="18" t="s">
        <v>364</v>
      </c>
      <c r="B125" s="18" t="s">
        <v>1</v>
      </c>
      <c r="C125" s="18"/>
      <c r="D125" s="18">
        <v>1800</v>
      </c>
      <c r="E125" s="18"/>
    </row>
    <row r="126" spans="1:5" x14ac:dyDescent="0.25">
      <c r="A126" s="18" t="s">
        <v>365</v>
      </c>
      <c r="B126" s="18" t="s">
        <v>1</v>
      </c>
      <c r="C126" s="18"/>
      <c r="D126" s="18"/>
      <c r="E126" s="18"/>
    </row>
    <row r="127" spans="1:5" x14ac:dyDescent="0.25">
      <c r="A127" s="501" t="s">
        <v>177</v>
      </c>
      <c r="B127" s="502"/>
      <c r="C127" s="502"/>
      <c r="D127" s="502"/>
      <c r="E127" s="503"/>
    </row>
    <row r="128" spans="1:5" x14ac:dyDescent="0.25">
      <c r="A128" s="18" t="s">
        <v>178</v>
      </c>
      <c r="B128" s="18" t="s">
        <v>179</v>
      </c>
      <c r="C128" s="18" t="s">
        <v>180</v>
      </c>
      <c r="D128" s="15">
        <v>2430</v>
      </c>
      <c r="E128" s="15">
        <v>3050</v>
      </c>
    </row>
    <row r="129" spans="1:5" x14ac:dyDescent="0.25">
      <c r="A129" s="18" t="s">
        <v>181</v>
      </c>
      <c r="B129" s="18" t="s">
        <v>179</v>
      </c>
      <c r="C129" s="18" t="s">
        <v>180</v>
      </c>
      <c r="D129" s="15">
        <v>1050</v>
      </c>
      <c r="E129" s="15">
        <v>1250</v>
      </c>
    </row>
    <row r="130" spans="1:5" x14ac:dyDescent="0.25">
      <c r="A130" s="18" t="s">
        <v>370</v>
      </c>
      <c r="B130" s="18" t="s">
        <v>179</v>
      </c>
      <c r="C130" s="18" t="s">
        <v>180</v>
      </c>
      <c r="D130" s="15">
        <v>2000</v>
      </c>
      <c r="E130" s="15">
        <v>2800</v>
      </c>
    </row>
    <row r="131" spans="1:5" x14ac:dyDescent="0.25">
      <c r="A131" s="18" t="s">
        <v>182</v>
      </c>
      <c r="B131" s="18" t="s">
        <v>179</v>
      </c>
      <c r="C131" s="18" t="s">
        <v>180</v>
      </c>
      <c r="D131" s="15">
        <v>900</v>
      </c>
      <c r="E131" s="15">
        <v>1080</v>
      </c>
    </row>
    <row r="132" spans="1:5" x14ac:dyDescent="0.25">
      <c r="A132" s="18" t="s">
        <v>183</v>
      </c>
      <c r="B132" s="18" t="s">
        <v>179</v>
      </c>
      <c r="C132" s="18" t="s">
        <v>180</v>
      </c>
      <c r="D132" s="15">
        <v>650</v>
      </c>
      <c r="E132" s="15">
        <v>780</v>
      </c>
    </row>
    <row r="133" spans="1:5" x14ac:dyDescent="0.25">
      <c r="A133" s="18" t="s">
        <v>184</v>
      </c>
      <c r="B133" s="18" t="s">
        <v>179</v>
      </c>
      <c r="C133" s="18" t="s">
        <v>180</v>
      </c>
      <c r="D133" s="15">
        <v>900</v>
      </c>
      <c r="E133" s="15">
        <v>1080</v>
      </c>
    </row>
    <row r="134" spans="1:5" x14ac:dyDescent="0.25">
      <c r="A134" s="18" t="s">
        <v>368</v>
      </c>
      <c r="B134" s="18" t="s">
        <v>179</v>
      </c>
      <c r="C134" s="18" t="s">
        <v>180</v>
      </c>
      <c r="D134" s="15">
        <v>4950</v>
      </c>
      <c r="E134" s="15">
        <v>6500</v>
      </c>
    </row>
    <row r="135" spans="1:5" x14ac:dyDescent="0.25">
      <c r="A135" s="5" t="s">
        <v>369</v>
      </c>
      <c r="B135" s="5" t="s">
        <v>179</v>
      </c>
      <c r="C135" s="5" t="s">
        <v>180</v>
      </c>
      <c r="D135" s="1">
        <v>6050</v>
      </c>
      <c r="E135" s="1">
        <v>7500</v>
      </c>
    </row>
    <row r="136" spans="1:5" ht="14.45" x14ac:dyDescent="0.3">
      <c r="A136" s="5"/>
      <c r="B136" s="5"/>
      <c r="C136" s="5"/>
      <c r="D136" s="1"/>
      <c r="E136" s="1"/>
    </row>
    <row r="137" spans="1:5" x14ac:dyDescent="0.25">
      <c r="A137" s="501" t="s">
        <v>185</v>
      </c>
      <c r="B137" s="502"/>
      <c r="C137" s="502"/>
      <c r="D137" s="502"/>
      <c r="E137" s="503"/>
    </row>
    <row r="138" spans="1:5" x14ac:dyDescent="0.25">
      <c r="A138" s="513" t="s">
        <v>186</v>
      </c>
      <c r="B138" s="514"/>
      <c r="C138" s="514"/>
      <c r="D138" s="514"/>
      <c r="E138" s="515"/>
    </row>
    <row r="139" spans="1:5" x14ac:dyDescent="0.25">
      <c r="A139" s="507" t="s">
        <v>187</v>
      </c>
      <c r="B139" s="508"/>
      <c r="C139" s="508"/>
      <c r="D139" s="508"/>
      <c r="E139" s="509"/>
    </row>
    <row r="140" spans="1:5" x14ac:dyDescent="0.25">
      <c r="A140" s="18" t="s">
        <v>188</v>
      </c>
      <c r="B140" s="18" t="s">
        <v>4</v>
      </c>
      <c r="C140" s="18"/>
      <c r="D140" s="18">
        <v>180</v>
      </c>
      <c r="E140" s="18">
        <v>216</v>
      </c>
    </row>
    <row r="141" spans="1:5" x14ac:dyDescent="0.25">
      <c r="A141" s="5" t="s">
        <v>189</v>
      </c>
      <c r="B141" s="5" t="s">
        <v>4</v>
      </c>
      <c r="C141" s="5"/>
      <c r="D141" s="5">
        <v>190</v>
      </c>
      <c r="E141" s="5">
        <v>228</v>
      </c>
    </row>
    <row r="142" spans="1:5" x14ac:dyDescent="0.25">
      <c r="A142" s="498" t="s">
        <v>190</v>
      </c>
      <c r="B142" s="499"/>
      <c r="C142" s="499"/>
      <c r="D142" s="499"/>
      <c r="E142" s="500"/>
    </row>
    <row r="143" spans="1:5" x14ac:dyDescent="0.25">
      <c r="A143" s="5" t="s">
        <v>191</v>
      </c>
      <c r="B143" s="5" t="s">
        <v>0</v>
      </c>
      <c r="C143" s="5"/>
      <c r="D143" s="5">
        <v>220</v>
      </c>
      <c r="E143" s="5">
        <v>264</v>
      </c>
    </row>
    <row r="144" spans="1:5" x14ac:dyDescent="0.25">
      <c r="A144" s="18" t="s">
        <v>192</v>
      </c>
      <c r="B144" s="18" t="s">
        <v>0</v>
      </c>
      <c r="C144" s="18"/>
      <c r="D144" s="18">
        <v>170</v>
      </c>
      <c r="E144" s="18">
        <v>204</v>
      </c>
    </row>
    <row r="145" spans="1:5" x14ac:dyDescent="0.25">
      <c r="A145" s="18" t="s">
        <v>193</v>
      </c>
      <c r="B145" s="18" t="s">
        <v>0</v>
      </c>
      <c r="C145" s="18"/>
      <c r="D145" s="18">
        <v>150</v>
      </c>
      <c r="E145" s="18">
        <v>180</v>
      </c>
    </row>
    <row r="146" spans="1:5" x14ac:dyDescent="0.25">
      <c r="A146" s="5" t="s">
        <v>194</v>
      </c>
      <c r="B146" s="5" t="s">
        <v>0</v>
      </c>
      <c r="C146" s="5"/>
      <c r="D146" s="5">
        <v>220</v>
      </c>
      <c r="E146" s="5">
        <v>264</v>
      </c>
    </row>
    <row r="147" spans="1:5" x14ac:dyDescent="0.25">
      <c r="A147" s="5" t="s">
        <v>195</v>
      </c>
      <c r="B147" s="5" t="s">
        <v>0</v>
      </c>
      <c r="C147" s="5"/>
      <c r="D147" s="5">
        <v>220</v>
      </c>
      <c r="E147" s="5">
        <v>264</v>
      </c>
    </row>
    <row r="148" spans="1:5" x14ac:dyDescent="0.25">
      <c r="A148" s="5" t="s">
        <v>196</v>
      </c>
      <c r="B148" s="5" t="s">
        <v>0</v>
      </c>
      <c r="C148" s="5"/>
      <c r="D148" s="5">
        <v>350</v>
      </c>
      <c r="E148" s="5">
        <v>420</v>
      </c>
    </row>
    <row r="149" spans="1:5" x14ac:dyDescent="0.25">
      <c r="A149" s="5" t="s">
        <v>197</v>
      </c>
      <c r="B149" s="5" t="s">
        <v>0</v>
      </c>
      <c r="C149" s="5"/>
      <c r="D149" s="5">
        <v>140</v>
      </c>
      <c r="E149" s="5">
        <v>168</v>
      </c>
    </row>
    <row r="150" spans="1:5" x14ac:dyDescent="0.25">
      <c r="A150" s="5" t="s">
        <v>198</v>
      </c>
      <c r="B150" s="5" t="s">
        <v>0</v>
      </c>
      <c r="C150" s="5"/>
      <c r="D150" s="5">
        <v>1</v>
      </c>
      <c r="E150" s="5">
        <v>1.2</v>
      </c>
    </row>
    <row r="151" spans="1:5" x14ac:dyDescent="0.25">
      <c r="A151" s="507" t="s">
        <v>199</v>
      </c>
      <c r="B151" s="508"/>
      <c r="C151" s="508"/>
      <c r="D151" s="508"/>
      <c r="E151" s="509"/>
    </row>
    <row r="152" spans="1:5" x14ac:dyDescent="0.25">
      <c r="A152" s="18" t="s">
        <v>200</v>
      </c>
      <c r="B152" s="18" t="s">
        <v>4</v>
      </c>
      <c r="C152" s="18"/>
      <c r="D152" s="18">
        <v>230</v>
      </c>
      <c r="E152" s="18">
        <v>276</v>
      </c>
    </row>
    <row r="153" spans="1:5" x14ac:dyDescent="0.25">
      <c r="A153" s="5" t="s">
        <v>188</v>
      </c>
      <c r="B153" s="5" t="s">
        <v>4</v>
      </c>
      <c r="C153" s="5"/>
      <c r="D153" s="5">
        <v>225</v>
      </c>
      <c r="E153" s="5">
        <v>270</v>
      </c>
    </row>
    <row r="154" spans="1:5" x14ac:dyDescent="0.25">
      <c r="A154" s="498" t="s">
        <v>201</v>
      </c>
      <c r="B154" s="499"/>
      <c r="C154" s="499"/>
      <c r="D154" s="499"/>
      <c r="E154" s="500"/>
    </row>
    <row r="155" spans="1:5" x14ac:dyDescent="0.25">
      <c r="A155" s="18" t="s">
        <v>202</v>
      </c>
      <c r="B155" s="18" t="s">
        <v>4</v>
      </c>
      <c r="C155" s="18"/>
      <c r="D155" s="18">
        <v>235</v>
      </c>
      <c r="E155" s="18">
        <v>282</v>
      </c>
    </row>
    <row r="156" spans="1:5" x14ac:dyDescent="0.25">
      <c r="A156" s="18" t="s">
        <v>203</v>
      </c>
      <c r="B156" s="18" t="s">
        <v>4</v>
      </c>
      <c r="C156" s="18"/>
      <c r="D156" s="18">
        <v>290</v>
      </c>
      <c r="E156" s="18">
        <v>348</v>
      </c>
    </row>
    <row r="157" spans="1:5" x14ac:dyDescent="0.25">
      <c r="A157" s="507" t="s">
        <v>190</v>
      </c>
      <c r="B157" s="508"/>
      <c r="C157" s="508"/>
      <c r="D157" s="508"/>
      <c r="E157" s="509"/>
    </row>
    <row r="158" spans="1:5" x14ac:dyDescent="0.25">
      <c r="A158" s="5" t="s">
        <v>191</v>
      </c>
      <c r="B158" s="5" t="s">
        <v>0</v>
      </c>
      <c r="C158" s="5"/>
      <c r="D158" s="5">
        <v>280</v>
      </c>
      <c r="E158" s="5">
        <v>336</v>
      </c>
    </row>
    <row r="159" spans="1:5" x14ac:dyDescent="0.25">
      <c r="A159" s="5" t="s">
        <v>192</v>
      </c>
      <c r="B159" s="5" t="s">
        <v>0</v>
      </c>
      <c r="C159" s="5"/>
      <c r="D159" s="5">
        <v>220</v>
      </c>
      <c r="E159" s="5">
        <v>264</v>
      </c>
    </row>
    <row r="160" spans="1:5" x14ac:dyDescent="0.25">
      <c r="A160" s="5" t="s">
        <v>204</v>
      </c>
      <c r="B160" s="5" t="s">
        <v>0</v>
      </c>
      <c r="C160" s="5"/>
      <c r="D160" s="5">
        <v>170</v>
      </c>
      <c r="E160" s="5">
        <v>204</v>
      </c>
    </row>
    <row r="161" spans="1:8" x14ac:dyDescent="0.25">
      <c r="A161" s="5" t="s">
        <v>205</v>
      </c>
      <c r="B161" s="5" t="s">
        <v>0</v>
      </c>
      <c r="C161" s="5"/>
      <c r="D161" s="5">
        <v>280</v>
      </c>
      <c r="E161" s="5">
        <v>336</v>
      </c>
    </row>
    <row r="162" spans="1:8" x14ac:dyDescent="0.25">
      <c r="A162" s="5" t="s">
        <v>197</v>
      </c>
      <c r="B162" s="5" t="s">
        <v>0</v>
      </c>
      <c r="C162" s="5"/>
      <c r="D162" s="5">
        <v>170</v>
      </c>
      <c r="E162" s="5">
        <v>204</v>
      </c>
    </row>
    <row r="163" spans="1:8" x14ac:dyDescent="0.25">
      <c r="A163" s="5" t="s">
        <v>206</v>
      </c>
      <c r="B163" s="5" t="s">
        <v>0</v>
      </c>
      <c r="C163" s="5"/>
      <c r="D163" s="5">
        <v>280</v>
      </c>
      <c r="E163" s="5">
        <v>336</v>
      </c>
    </row>
    <row r="164" spans="1:8" x14ac:dyDescent="0.25">
      <c r="A164" s="5" t="s">
        <v>207</v>
      </c>
      <c r="B164" s="5" t="s">
        <v>0</v>
      </c>
      <c r="C164" s="5"/>
      <c r="D164" s="5">
        <v>1.2</v>
      </c>
      <c r="E164" s="5">
        <v>1.44</v>
      </c>
    </row>
    <row r="165" spans="1:8" x14ac:dyDescent="0.25">
      <c r="A165" s="516" t="s">
        <v>371</v>
      </c>
      <c r="B165" s="517"/>
      <c r="C165" s="517"/>
      <c r="D165" s="517"/>
      <c r="E165" s="518"/>
    </row>
    <row r="166" spans="1:8" x14ac:dyDescent="0.25">
      <c r="A166" s="18" t="s">
        <v>11</v>
      </c>
      <c r="B166" s="18" t="s">
        <v>367</v>
      </c>
      <c r="C166" s="18"/>
      <c r="D166" s="18">
        <v>600</v>
      </c>
      <c r="E166" s="18"/>
    </row>
    <row r="167" spans="1:8" x14ac:dyDescent="0.25">
      <c r="A167" s="18" t="s">
        <v>12</v>
      </c>
      <c r="B167" s="18" t="s">
        <v>367</v>
      </c>
      <c r="C167" s="18"/>
      <c r="D167" s="18">
        <v>700</v>
      </c>
      <c r="E167" s="18"/>
    </row>
    <row r="168" spans="1:8" x14ac:dyDescent="0.25">
      <c r="A168" s="18" t="s">
        <v>13</v>
      </c>
      <c r="B168" s="18" t="s">
        <v>367</v>
      </c>
      <c r="C168" s="18"/>
      <c r="D168" s="18">
        <v>800</v>
      </c>
      <c r="E168" s="18"/>
    </row>
    <row r="169" spans="1:8" x14ac:dyDescent="0.25">
      <c r="A169" s="18" t="s">
        <v>14</v>
      </c>
      <c r="B169" s="18" t="s">
        <v>367</v>
      </c>
      <c r="C169" s="18"/>
      <c r="D169" s="18">
        <v>900</v>
      </c>
      <c r="E169" s="18"/>
    </row>
    <row r="170" spans="1:8" ht="14.45" x14ac:dyDescent="0.3">
      <c r="A170" s="26"/>
      <c r="B170" s="27"/>
      <c r="C170" s="27"/>
      <c r="D170" s="27"/>
      <c r="E170" s="28"/>
    </row>
    <row r="171" spans="1:8" x14ac:dyDescent="0.25">
      <c r="A171" s="18" t="s">
        <v>401</v>
      </c>
      <c r="B171" s="18" t="s">
        <v>5</v>
      </c>
      <c r="C171" s="18"/>
      <c r="D171" s="18">
        <v>1700</v>
      </c>
      <c r="E171" s="18">
        <v>2950</v>
      </c>
    </row>
    <row r="172" spans="1:8" x14ac:dyDescent="0.25">
      <c r="A172" s="18" t="s">
        <v>402</v>
      </c>
      <c r="B172" s="18" t="s">
        <v>5</v>
      </c>
      <c r="C172" s="18"/>
      <c r="D172" s="18">
        <v>6150</v>
      </c>
      <c r="E172" s="18">
        <v>7600</v>
      </c>
    </row>
    <row r="173" spans="1:8" x14ac:dyDescent="0.25">
      <c r="A173" s="501" t="s">
        <v>208</v>
      </c>
      <c r="B173" s="502"/>
      <c r="C173" s="502"/>
      <c r="D173" s="502"/>
      <c r="E173" s="503"/>
    </row>
    <row r="174" spans="1:8" x14ac:dyDescent="0.25">
      <c r="A174" s="18" t="s">
        <v>209</v>
      </c>
      <c r="B174" s="18" t="s">
        <v>0</v>
      </c>
      <c r="C174" s="18"/>
      <c r="D174" s="18">
        <v>375</v>
      </c>
      <c r="E174" s="18">
        <v>450</v>
      </c>
      <c r="F174" s="18"/>
      <c r="G174" s="18" t="s">
        <v>4</v>
      </c>
      <c r="H174" s="18">
        <v>330</v>
      </c>
    </row>
    <row r="175" spans="1:8" x14ac:dyDescent="0.25">
      <c r="A175" s="5" t="s">
        <v>210</v>
      </c>
      <c r="B175" s="5" t="s">
        <v>0</v>
      </c>
      <c r="C175" s="5"/>
      <c r="D175" s="5">
        <v>360</v>
      </c>
      <c r="E175" s="5">
        <v>432</v>
      </c>
    </row>
    <row r="176" spans="1:8" x14ac:dyDescent="0.25">
      <c r="A176" s="5" t="s">
        <v>211</v>
      </c>
      <c r="B176" s="5" t="s">
        <v>0</v>
      </c>
      <c r="C176" s="5"/>
      <c r="D176" s="5">
        <v>360</v>
      </c>
      <c r="E176" s="5">
        <v>432</v>
      </c>
    </row>
    <row r="177" spans="1:5" x14ac:dyDescent="0.25">
      <c r="A177" s="507" t="s">
        <v>212</v>
      </c>
      <c r="B177" s="508"/>
      <c r="C177" s="508"/>
      <c r="D177" s="508"/>
      <c r="E177" s="509"/>
    </row>
    <row r="178" spans="1:5" x14ac:dyDescent="0.25">
      <c r="A178" s="5" t="s">
        <v>191</v>
      </c>
      <c r="B178" s="5" t="s">
        <v>41</v>
      </c>
      <c r="C178" s="5"/>
      <c r="D178" s="5">
        <v>240</v>
      </c>
      <c r="E178" s="5">
        <v>288</v>
      </c>
    </row>
    <row r="179" spans="1:5" x14ac:dyDescent="0.25">
      <c r="A179" s="5" t="s">
        <v>192</v>
      </c>
      <c r="B179" s="5" t="s">
        <v>41</v>
      </c>
      <c r="C179" s="5"/>
      <c r="D179" s="5">
        <v>240</v>
      </c>
      <c r="E179" s="5">
        <v>288</v>
      </c>
    </row>
    <row r="180" spans="1:5" x14ac:dyDescent="0.25">
      <c r="A180" s="5" t="s">
        <v>193</v>
      </c>
      <c r="B180" s="5" t="s">
        <v>41</v>
      </c>
      <c r="C180" s="5"/>
      <c r="D180" s="5">
        <v>240</v>
      </c>
      <c r="E180" s="5">
        <v>288</v>
      </c>
    </row>
    <row r="181" spans="1:5" x14ac:dyDescent="0.25">
      <c r="A181" s="5" t="s">
        <v>205</v>
      </c>
      <c r="B181" s="5" t="s">
        <v>41</v>
      </c>
      <c r="C181" s="5"/>
      <c r="D181" s="5">
        <v>240</v>
      </c>
      <c r="E181" s="5">
        <v>288</v>
      </c>
    </row>
    <row r="182" spans="1:5" x14ac:dyDescent="0.25">
      <c r="A182" s="5" t="s">
        <v>206</v>
      </c>
      <c r="B182" s="5" t="s">
        <v>41</v>
      </c>
      <c r="C182" s="5"/>
      <c r="D182" s="5">
        <v>240</v>
      </c>
      <c r="E182" s="5">
        <v>288</v>
      </c>
    </row>
    <row r="183" spans="1:5" x14ac:dyDescent="0.25">
      <c r="A183" s="5" t="s">
        <v>213</v>
      </c>
      <c r="B183" s="5" t="s">
        <v>0</v>
      </c>
      <c r="C183" s="5" t="s">
        <v>214</v>
      </c>
      <c r="D183" s="5">
        <v>1.1000000000000001</v>
      </c>
      <c r="E183" s="5">
        <v>1.32</v>
      </c>
    </row>
    <row r="184" spans="1:5" x14ac:dyDescent="0.25">
      <c r="A184" s="501" t="s">
        <v>377</v>
      </c>
      <c r="B184" s="502"/>
      <c r="C184" s="502"/>
      <c r="D184" s="502"/>
      <c r="E184" s="503"/>
    </row>
    <row r="185" spans="1:5" x14ac:dyDescent="0.25">
      <c r="A185" s="18" t="s">
        <v>215</v>
      </c>
      <c r="B185" s="18" t="s">
        <v>4</v>
      </c>
      <c r="C185" s="18"/>
      <c r="D185" s="18">
        <v>1100</v>
      </c>
      <c r="E185" s="18">
        <v>1320</v>
      </c>
    </row>
    <row r="186" spans="1:5" x14ac:dyDescent="0.25">
      <c r="A186" s="5" t="s">
        <v>216</v>
      </c>
      <c r="B186" s="5" t="s">
        <v>4</v>
      </c>
      <c r="C186" s="5"/>
      <c r="D186" s="5">
        <v>1300</v>
      </c>
      <c r="E186" s="5">
        <v>1560</v>
      </c>
    </row>
    <row r="187" spans="1:5" ht="14.45" x14ac:dyDescent="0.3">
      <c r="A187" s="5"/>
      <c r="B187" s="5"/>
      <c r="C187" s="5"/>
      <c r="D187" s="5"/>
      <c r="E187" s="5"/>
    </row>
    <row r="188" spans="1:5" ht="14.45" x14ac:dyDescent="0.3">
      <c r="A188" s="5"/>
      <c r="B188" s="5"/>
      <c r="C188" s="5"/>
      <c r="D188" s="5"/>
      <c r="E188" s="5"/>
    </row>
    <row r="189" spans="1:5" x14ac:dyDescent="0.25">
      <c r="A189" s="507" t="s">
        <v>212</v>
      </c>
      <c r="B189" s="508"/>
      <c r="C189" s="508"/>
      <c r="D189" s="508"/>
      <c r="E189" s="509"/>
    </row>
    <row r="190" spans="1:5" x14ac:dyDescent="0.25">
      <c r="A190" s="5" t="s">
        <v>191</v>
      </c>
      <c r="B190" s="5" t="s">
        <v>41</v>
      </c>
      <c r="C190" s="5"/>
      <c r="D190" s="5">
        <v>121</v>
      </c>
      <c r="E190" s="5">
        <v>145.19999999999999</v>
      </c>
    </row>
    <row r="191" spans="1:5" x14ac:dyDescent="0.25">
      <c r="A191" s="5" t="s">
        <v>217</v>
      </c>
      <c r="B191" s="5" t="s">
        <v>41</v>
      </c>
      <c r="C191" s="5"/>
      <c r="D191" s="5">
        <v>75</v>
      </c>
      <c r="E191" s="5">
        <v>90</v>
      </c>
    </row>
    <row r="192" spans="1:5" x14ac:dyDescent="0.25">
      <c r="A192" s="5" t="s">
        <v>218</v>
      </c>
      <c r="B192" s="5" t="s">
        <v>41</v>
      </c>
      <c r="C192" s="5" t="s">
        <v>219</v>
      </c>
      <c r="D192" s="5">
        <v>110</v>
      </c>
      <c r="E192" s="5">
        <v>132</v>
      </c>
    </row>
    <row r="193" spans="1:5" x14ac:dyDescent="0.25">
      <c r="A193" s="5" t="s">
        <v>205</v>
      </c>
      <c r="B193" s="5" t="s">
        <v>41</v>
      </c>
      <c r="C193" s="5"/>
      <c r="D193" s="5">
        <v>121</v>
      </c>
      <c r="E193" s="5">
        <v>145.19999999999999</v>
      </c>
    </row>
    <row r="194" spans="1:5" x14ac:dyDescent="0.25">
      <c r="A194" s="5" t="s">
        <v>194</v>
      </c>
      <c r="B194" s="5" t="s">
        <v>41</v>
      </c>
      <c r="C194" s="5"/>
      <c r="D194" s="5">
        <v>121</v>
      </c>
      <c r="E194" s="5">
        <v>145.19999999999999</v>
      </c>
    </row>
    <row r="195" spans="1:5" x14ac:dyDescent="0.25">
      <c r="A195" s="5" t="s">
        <v>220</v>
      </c>
      <c r="B195" s="5" t="s">
        <v>41</v>
      </c>
      <c r="C195" s="5"/>
      <c r="D195" s="5">
        <v>80</v>
      </c>
      <c r="E195" s="5">
        <v>96</v>
      </c>
    </row>
    <row r="196" spans="1:5" x14ac:dyDescent="0.25">
      <c r="A196" s="5" t="s">
        <v>213</v>
      </c>
      <c r="B196" s="5" t="s">
        <v>50</v>
      </c>
      <c r="C196" s="5" t="s">
        <v>221</v>
      </c>
      <c r="D196" s="5">
        <v>80</v>
      </c>
      <c r="E196" s="5">
        <v>96</v>
      </c>
    </row>
    <row r="197" spans="1:5" x14ac:dyDescent="0.25">
      <c r="A197" s="501" t="s">
        <v>222</v>
      </c>
      <c r="B197" s="502"/>
      <c r="C197" s="502"/>
      <c r="D197" s="502"/>
      <c r="E197" s="503"/>
    </row>
    <row r="198" spans="1:5" x14ac:dyDescent="0.25">
      <c r="A198" s="18" t="s">
        <v>223</v>
      </c>
      <c r="B198" s="18" t="s">
        <v>41</v>
      </c>
      <c r="C198" s="18" t="s">
        <v>224</v>
      </c>
      <c r="D198" s="18">
        <v>350</v>
      </c>
      <c r="E198" s="18"/>
    </row>
    <row r="199" spans="1:5" x14ac:dyDescent="0.25">
      <c r="A199" s="18" t="s">
        <v>223</v>
      </c>
      <c r="B199" s="18" t="s">
        <v>41</v>
      </c>
      <c r="C199" s="18" t="s">
        <v>225</v>
      </c>
      <c r="D199" s="18">
        <v>380</v>
      </c>
      <c r="E199" s="18"/>
    </row>
    <row r="200" spans="1:5" x14ac:dyDescent="0.25">
      <c r="A200" s="18" t="s">
        <v>226</v>
      </c>
      <c r="B200" s="18" t="s">
        <v>41</v>
      </c>
      <c r="C200" s="18" t="s">
        <v>227</v>
      </c>
      <c r="D200" s="18">
        <v>540</v>
      </c>
      <c r="E200" s="18"/>
    </row>
    <row r="201" spans="1:5" x14ac:dyDescent="0.25">
      <c r="A201" s="18" t="s">
        <v>226</v>
      </c>
      <c r="B201" s="18" t="s">
        <v>41</v>
      </c>
      <c r="C201" s="18" t="s">
        <v>136</v>
      </c>
      <c r="D201" s="18">
        <v>615</v>
      </c>
      <c r="E201" s="18"/>
    </row>
    <row r="202" spans="1:5" x14ac:dyDescent="0.25">
      <c r="A202" s="501" t="s">
        <v>228</v>
      </c>
      <c r="B202" s="502"/>
      <c r="C202" s="502"/>
      <c r="D202" s="502"/>
      <c r="E202" s="503"/>
    </row>
    <row r="203" spans="1:5" x14ac:dyDescent="0.25">
      <c r="A203" s="5" t="s">
        <v>229</v>
      </c>
      <c r="B203" s="5" t="s">
        <v>4</v>
      </c>
      <c r="C203" s="5"/>
      <c r="D203" s="5">
        <v>5800</v>
      </c>
      <c r="E203" s="5">
        <v>6960</v>
      </c>
    </row>
    <row r="204" spans="1:5" x14ac:dyDescent="0.25">
      <c r="A204" s="5" t="s">
        <v>230</v>
      </c>
      <c r="B204" s="5" t="s">
        <v>0</v>
      </c>
      <c r="C204" s="5" t="s">
        <v>231</v>
      </c>
      <c r="D204" s="5">
        <v>41000</v>
      </c>
      <c r="E204" s="5">
        <v>49200</v>
      </c>
    </row>
    <row r="205" spans="1:5" x14ac:dyDescent="0.25">
      <c r="A205" s="504" t="s">
        <v>378</v>
      </c>
      <c r="B205" s="505"/>
      <c r="C205" s="505"/>
      <c r="D205" s="505"/>
      <c r="E205" s="506"/>
    </row>
    <row r="206" spans="1:5" x14ac:dyDescent="0.25">
      <c r="A206" s="5" t="s">
        <v>379</v>
      </c>
      <c r="B206" s="5"/>
      <c r="C206" s="5"/>
      <c r="D206" s="5">
        <v>4000</v>
      </c>
      <c r="E206" s="5">
        <v>4800</v>
      </c>
    </row>
    <row r="207" spans="1:5" x14ac:dyDescent="0.25">
      <c r="A207" s="5" t="s">
        <v>380</v>
      </c>
      <c r="B207" s="5"/>
      <c r="C207" s="5"/>
      <c r="D207" s="5">
        <v>5000</v>
      </c>
      <c r="E207" s="5">
        <v>6000</v>
      </c>
    </row>
    <row r="208" spans="1:5" x14ac:dyDescent="0.25">
      <c r="A208" s="510" t="s">
        <v>232</v>
      </c>
      <c r="B208" s="511"/>
      <c r="C208" s="511"/>
      <c r="D208" s="511"/>
      <c r="E208" s="512"/>
    </row>
    <row r="209" spans="1:7" x14ac:dyDescent="0.25">
      <c r="A209" s="507" t="s">
        <v>8</v>
      </c>
      <c r="B209" s="508"/>
      <c r="C209" s="508"/>
      <c r="D209" s="508"/>
      <c r="E209" s="509"/>
    </row>
    <row r="210" spans="1:7" x14ac:dyDescent="0.25">
      <c r="A210" s="498" t="s">
        <v>233</v>
      </c>
      <c r="B210" s="499"/>
      <c r="C210" s="499"/>
      <c r="D210" s="499"/>
      <c r="E210" s="500"/>
    </row>
    <row r="211" spans="1:7" x14ac:dyDescent="0.25">
      <c r="A211" s="5" t="s">
        <v>234</v>
      </c>
      <c r="B211" s="5" t="s">
        <v>4</v>
      </c>
      <c r="C211" s="5"/>
      <c r="D211" s="5">
        <v>3550</v>
      </c>
      <c r="E211" s="5">
        <v>4260</v>
      </c>
    </row>
    <row r="212" spans="1:7" x14ac:dyDescent="0.25">
      <c r="A212" s="5" t="s">
        <v>235</v>
      </c>
      <c r="B212" s="5" t="s">
        <v>4</v>
      </c>
      <c r="C212" s="5"/>
      <c r="D212" s="5">
        <v>3100</v>
      </c>
      <c r="E212" s="5">
        <v>3720</v>
      </c>
    </row>
    <row r="213" spans="1:7" x14ac:dyDescent="0.25">
      <c r="A213" s="5" t="s">
        <v>236</v>
      </c>
      <c r="B213" s="5" t="s">
        <v>4</v>
      </c>
      <c r="C213" s="5"/>
      <c r="D213" s="5">
        <v>3900</v>
      </c>
      <c r="E213" s="5">
        <v>4680</v>
      </c>
    </row>
    <row r="214" spans="1:7" x14ac:dyDescent="0.25">
      <c r="A214" s="5" t="s">
        <v>237</v>
      </c>
      <c r="B214" s="5" t="s">
        <v>4</v>
      </c>
      <c r="C214" s="5"/>
      <c r="D214" s="5">
        <v>3350</v>
      </c>
      <c r="E214" s="5">
        <v>4020</v>
      </c>
    </row>
    <row r="215" spans="1:7" x14ac:dyDescent="0.25">
      <c r="A215" s="5" t="s">
        <v>238</v>
      </c>
      <c r="B215" s="5" t="s">
        <v>4</v>
      </c>
      <c r="C215" s="5"/>
      <c r="D215" s="5">
        <v>3050</v>
      </c>
      <c r="E215" s="5">
        <v>3660</v>
      </c>
    </row>
    <row r="216" spans="1:7" x14ac:dyDescent="0.25">
      <c r="A216" s="498" t="s">
        <v>239</v>
      </c>
      <c r="B216" s="499"/>
      <c r="C216" s="499"/>
      <c r="D216" s="499"/>
      <c r="E216" s="500"/>
    </row>
    <row r="217" spans="1:7" x14ac:dyDescent="0.25">
      <c r="A217" s="5" t="s">
        <v>236</v>
      </c>
      <c r="B217" s="5" t="s">
        <v>4</v>
      </c>
      <c r="C217" s="5"/>
      <c r="D217" s="5">
        <v>4320</v>
      </c>
      <c r="E217" s="5">
        <v>5184</v>
      </c>
    </row>
    <row r="218" spans="1:7" x14ac:dyDescent="0.25">
      <c r="A218" s="5" t="s">
        <v>237</v>
      </c>
      <c r="B218" s="5" t="s">
        <v>4</v>
      </c>
      <c r="C218" s="5"/>
      <c r="D218" s="5">
        <v>3700</v>
      </c>
      <c r="E218" s="5">
        <v>4440</v>
      </c>
      <c r="G218" s="3"/>
    </row>
    <row r="219" spans="1:7" x14ac:dyDescent="0.25">
      <c r="A219" s="5" t="s">
        <v>238</v>
      </c>
      <c r="B219" s="5" t="s">
        <v>4</v>
      </c>
      <c r="C219" s="5"/>
      <c r="D219" s="5">
        <v>3400</v>
      </c>
      <c r="E219" s="5">
        <v>4080</v>
      </c>
    </row>
    <row r="220" spans="1:7" ht="14.45" x14ac:dyDescent="0.3">
      <c r="A220" s="5"/>
      <c r="B220" s="20"/>
      <c r="C220" s="20"/>
      <c r="D220" s="20"/>
      <c r="E220" s="21"/>
    </row>
    <row r="221" spans="1:7" x14ac:dyDescent="0.25">
      <c r="A221" s="15" t="s">
        <v>372</v>
      </c>
      <c r="B221" s="18"/>
      <c r="C221" s="18" t="s">
        <v>0</v>
      </c>
      <c r="D221" s="18">
        <v>2400</v>
      </c>
      <c r="E221" s="18"/>
    </row>
    <row r="222" spans="1:7" x14ac:dyDescent="0.25">
      <c r="A222" s="15" t="s">
        <v>373</v>
      </c>
      <c r="B222" s="18"/>
      <c r="C222" s="18" t="s">
        <v>0</v>
      </c>
      <c r="D222" s="18">
        <v>2500</v>
      </c>
      <c r="E222" s="18"/>
    </row>
    <row r="223" spans="1:7" x14ac:dyDescent="0.25">
      <c r="A223" s="15" t="s">
        <v>374</v>
      </c>
      <c r="B223" s="18"/>
      <c r="C223" s="18" t="s">
        <v>0</v>
      </c>
      <c r="D223" s="18">
        <v>2990</v>
      </c>
      <c r="E223" s="18"/>
    </row>
    <row r="224" spans="1:7" x14ac:dyDescent="0.25">
      <c r="A224" s="15" t="s">
        <v>375</v>
      </c>
      <c r="B224" s="18"/>
      <c r="C224" s="18" t="s">
        <v>0</v>
      </c>
      <c r="D224" s="18">
        <v>3360</v>
      </c>
      <c r="E224" s="18"/>
    </row>
    <row r="225" spans="1:5" x14ac:dyDescent="0.25">
      <c r="A225" s="15" t="s">
        <v>376</v>
      </c>
      <c r="B225" s="18"/>
      <c r="C225" s="18" t="s">
        <v>0</v>
      </c>
      <c r="D225" s="18">
        <v>4150</v>
      </c>
      <c r="E225" s="18"/>
    </row>
    <row r="226" spans="1:5" ht="14.45" x14ac:dyDescent="0.3">
      <c r="A226" s="2"/>
      <c r="B226" s="9"/>
      <c r="C226" s="9"/>
      <c r="D226" s="9"/>
      <c r="E226" s="9"/>
    </row>
    <row r="227" spans="1:5" x14ac:dyDescent="0.25">
      <c r="A227" s="15" t="s">
        <v>396</v>
      </c>
      <c r="B227" s="18"/>
      <c r="C227" s="18"/>
      <c r="D227" s="18">
        <v>9200</v>
      </c>
      <c r="E227" s="18">
        <v>17000</v>
      </c>
    </row>
    <row r="228" spans="1:5" x14ac:dyDescent="0.25">
      <c r="A228" s="15" t="s">
        <v>397</v>
      </c>
      <c r="B228" s="18"/>
      <c r="C228" s="18"/>
      <c r="D228" s="18">
        <v>20800</v>
      </c>
      <c r="E228" s="18">
        <v>38950</v>
      </c>
    </row>
    <row r="229" spans="1:5" x14ac:dyDescent="0.25">
      <c r="A229" s="507" t="s">
        <v>240</v>
      </c>
      <c r="B229" s="508"/>
      <c r="C229" s="508"/>
      <c r="D229" s="508"/>
      <c r="E229" s="509"/>
    </row>
    <row r="230" spans="1:5" x14ac:dyDescent="0.25">
      <c r="A230" s="5" t="s">
        <v>241</v>
      </c>
      <c r="B230" s="5" t="s">
        <v>4</v>
      </c>
      <c r="C230" s="5" t="s">
        <v>242</v>
      </c>
      <c r="D230" s="5">
        <v>3400</v>
      </c>
      <c r="E230" s="5">
        <v>4080</v>
      </c>
    </row>
    <row r="231" spans="1:5" x14ac:dyDescent="0.25">
      <c r="A231" s="18" t="s">
        <v>241</v>
      </c>
      <c r="B231" s="18" t="s">
        <v>4</v>
      </c>
      <c r="C231" s="18" t="s">
        <v>243</v>
      </c>
      <c r="D231" s="18">
        <v>5550</v>
      </c>
      <c r="E231" s="18">
        <v>6660</v>
      </c>
    </row>
    <row r="232" spans="1:5" x14ac:dyDescent="0.25">
      <c r="A232" s="5" t="s">
        <v>244</v>
      </c>
      <c r="B232" s="5" t="s">
        <v>4</v>
      </c>
      <c r="C232" s="5" t="s">
        <v>242</v>
      </c>
      <c r="D232" s="5">
        <v>3150</v>
      </c>
      <c r="E232" s="5">
        <v>3780</v>
      </c>
    </row>
    <row r="233" spans="1:5" x14ac:dyDescent="0.25">
      <c r="A233" s="5" t="s">
        <v>244</v>
      </c>
      <c r="B233" s="5" t="s">
        <v>4</v>
      </c>
      <c r="C233" s="5" t="s">
        <v>243</v>
      </c>
      <c r="D233" s="5">
        <v>5250</v>
      </c>
      <c r="E233" s="5">
        <v>6300</v>
      </c>
    </row>
    <row r="234" spans="1:5" x14ac:dyDescent="0.25">
      <c r="A234" s="5" t="s">
        <v>245</v>
      </c>
      <c r="B234" s="5" t="s">
        <v>4</v>
      </c>
      <c r="C234" s="5" t="s">
        <v>242</v>
      </c>
      <c r="D234" s="5">
        <v>3300</v>
      </c>
      <c r="E234" s="5">
        <v>3960</v>
      </c>
    </row>
    <row r="235" spans="1:5" x14ac:dyDescent="0.25">
      <c r="A235" s="18" t="s">
        <v>245</v>
      </c>
      <c r="B235" s="18" t="s">
        <v>4</v>
      </c>
      <c r="C235" s="18" t="s">
        <v>243</v>
      </c>
      <c r="D235" s="18">
        <v>5400</v>
      </c>
      <c r="E235" s="18">
        <v>6480</v>
      </c>
    </row>
    <row r="236" spans="1:5" x14ac:dyDescent="0.25">
      <c r="A236" s="498" t="s">
        <v>246</v>
      </c>
      <c r="B236" s="499"/>
      <c r="C236" s="499"/>
      <c r="D236" s="499"/>
      <c r="E236" s="500"/>
    </row>
    <row r="237" spans="1:5" x14ac:dyDescent="0.25">
      <c r="A237" s="5" t="s">
        <v>247</v>
      </c>
      <c r="B237" s="5" t="s">
        <v>4</v>
      </c>
      <c r="C237" s="5"/>
      <c r="D237" s="5">
        <v>320</v>
      </c>
      <c r="E237" s="5">
        <v>384</v>
      </c>
    </row>
    <row r="238" spans="1:5" x14ac:dyDescent="0.25">
      <c r="A238" s="5" t="s">
        <v>248</v>
      </c>
      <c r="B238" s="5" t="s">
        <v>4</v>
      </c>
      <c r="C238" s="5"/>
      <c r="D238" s="5">
        <v>700</v>
      </c>
      <c r="E238" s="5">
        <v>840</v>
      </c>
    </row>
    <row r="239" spans="1:5" x14ac:dyDescent="0.25">
      <c r="A239" s="5" t="s">
        <v>249</v>
      </c>
      <c r="B239" s="5" t="s">
        <v>4</v>
      </c>
      <c r="C239" s="5"/>
      <c r="D239" s="5">
        <v>500</v>
      </c>
      <c r="E239" s="5">
        <v>600</v>
      </c>
    </row>
    <row r="240" spans="1:5" x14ac:dyDescent="0.25">
      <c r="A240" s="5" t="s">
        <v>250</v>
      </c>
      <c r="B240" s="5" t="s">
        <v>4</v>
      </c>
      <c r="C240" s="5"/>
      <c r="D240" s="5">
        <v>600</v>
      </c>
      <c r="E240" s="5">
        <v>720</v>
      </c>
    </row>
    <row r="241" spans="1:5" x14ac:dyDescent="0.25">
      <c r="A241" s="501" t="s">
        <v>251</v>
      </c>
      <c r="B241" s="502"/>
      <c r="C241" s="502"/>
      <c r="D241" s="502"/>
      <c r="E241" s="503"/>
    </row>
    <row r="242" spans="1:5" x14ac:dyDescent="0.25">
      <c r="A242" s="507" t="s">
        <v>8</v>
      </c>
      <c r="B242" s="508"/>
      <c r="C242" s="508"/>
      <c r="D242" s="508"/>
      <c r="E242" s="509"/>
    </row>
    <row r="243" spans="1:5" x14ac:dyDescent="0.25">
      <c r="A243" s="5" t="s">
        <v>252</v>
      </c>
      <c r="B243" s="5" t="s">
        <v>5</v>
      </c>
      <c r="C243" s="5"/>
      <c r="D243" s="5">
        <v>550</v>
      </c>
      <c r="E243" s="5">
        <v>660</v>
      </c>
    </row>
    <row r="244" spans="1:5" x14ac:dyDescent="0.25">
      <c r="A244" s="18" t="s">
        <v>253</v>
      </c>
      <c r="B244" s="18" t="s">
        <v>5</v>
      </c>
      <c r="C244" s="18"/>
      <c r="D244" s="18">
        <v>1750</v>
      </c>
      <c r="E244" s="18">
        <v>2100</v>
      </c>
    </row>
    <row r="245" spans="1:5" x14ac:dyDescent="0.25">
      <c r="A245" s="18" t="s">
        <v>254</v>
      </c>
      <c r="B245" s="18" t="s">
        <v>5</v>
      </c>
      <c r="C245" s="18"/>
      <c r="D245" s="18">
        <v>2200</v>
      </c>
      <c r="E245" s="18">
        <v>2640</v>
      </c>
    </row>
    <row r="246" spans="1:5" x14ac:dyDescent="0.25">
      <c r="A246" s="9" t="s">
        <v>255</v>
      </c>
      <c r="B246" s="9" t="s">
        <v>5</v>
      </c>
      <c r="C246" s="9"/>
      <c r="D246" s="9">
        <v>2750</v>
      </c>
      <c r="E246" s="9">
        <v>3300</v>
      </c>
    </row>
    <row r="247" spans="1:5" x14ac:dyDescent="0.25">
      <c r="A247" s="9" t="s">
        <v>256</v>
      </c>
      <c r="B247" s="9" t="s">
        <v>5</v>
      </c>
      <c r="C247" s="9"/>
      <c r="D247" s="9">
        <v>3300</v>
      </c>
      <c r="E247" s="9">
        <v>3960</v>
      </c>
    </row>
    <row r="248" spans="1:5" x14ac:dyDescent="0.25">
      <c r="A248" s="5" t="s">
        <v>257</v>
      </c>
      <c r="B248" s="5" t="s">
        <v>5</v>
      </c>
      <c r="C248" s="5"/>
      <c r="D248" s="5">
        <v>600</v>
      </c>
      <c r="E248" s="5">
        <v>720</v>
      </c>
    </row>
    <row r="249" spans="1:5" x14ac:dyDescent="0.25">
      <c r="A249" s="5" t="s">
        <v>258</v>
      </c>
      <c r="B249" s="5" t="s">
        <v>5</v>
      </c>
      <c r="C249" s="5"/>
      <c r="D249" s="5">
        <v>850</v>
      </c>
      <c r="E249" s="5">
        <v>1020</v>
      </c>
    </row>
    <row r="250" spans="1:5" x14ac:dyDescent="0.25">
      <c r="A250" s="5" t="s">
        <v>259</v>
      </c>
      <c r="B250" s="5" t="s">
        <v>5</v>
      </c>
      <c r="C250" s="5"/>
      <c r="D250" s="5">
        <v>1750</v>
      </c>
      <c r="E250" s="5">
        <v>2100</v>
      </c>
    </row>
    <row r="251" spans="1:5" x14ac:dyDescent="0.25">
      <c r="A251" s="5" t="s">
        <v>260</v>
      </c>
      <c r="B251" s="5" t="s">
        <v>5</v>
      </c>
      <c r="C251" s="5"/>
      <c r="D251" s="5">
        <v>3250</v>
      </c>
      <c r="E251" s="5">
        <v>3900</v>
      </c>
    </row>
    <row r="252" spans="1:5" x14ac:dyDescent="0.25">
      <c r="A252" s="18" t="s">
        <v>261</v>
      </c>
      <c r="B252" s="18" t="s">
        <v>5</v>
      </c>
      <c r="C252" s="18"/>
      <c r="D252" s="18">
        <v>3900</v>
      </c>
      <c r="E252" s="18">
        <v>4680</v>
      </c>
    </row>
    <row r="253" spans="1:5" x14ac:dyDescent="0.25">
      <c r="A253" s="18" t="s">
        <v>262</v>
      </c>
      <c r="B253" s="18" t="s">
        <v>5</v>
      </c>
      <c r="C253" s="18"/>
      <c r="D253" s="18">
        <v>4700</v>
      </c>
      <c r="E253" s="18">
        <v>5500</v>
      </c>
    </row>
    <row r="254" spans="1:5" x14ac:dyDescent="0.25">
      <c r="A254" s="507" t="s">
        <v>240</v>
      </c>
      <c r="B254" s="508"/>
      <c r="C254" s="508"/>
      <c r="D254" s="508"/>
      <c r="E254" s="509"/>
    </row>
    <row r="255" spans="1:5" x14ac:dyDescent="0.25">
      <c r="A255" s="498" t="s">
        <v>263</v>
      </c>
      <c r="B255" s="499"/>
      <c r="C255" s="499"/>
      <c r="D255" s="499"/>
      <c r="E255" s="500"/>
    </row>
    <row r="256" spans="1:5" x14ac:dyDescent="0.25">
      <c r="A256" s="18" t="s">
        <v>15</v>
      </c>
      <c r="B256" s="18"/>
      <c r="C256" s="18"/>
      <c r="D256" s="18">
        <v>2500</v>
      </c>
      <c r="E256" s="18">
        <v>3000</v>
      </c>
    </row>
    <row r="257" spans="1:7" x14ac:dyDescent="0.25">
      <c r="A257" s="18" t="s">
        <v>16</v>
      </c>
      <c r="B257" s="18"/>
      <c r="C257" s="18"/>
      <c r="D257" s="18">
        <v>5500</v>
      </c>
      <c r="E257" s="18">
        <v>6600</v>
      </c>
    </row>
    <row r="258" spans="1:7" x14ac:dyDescent="0.25">
      <c r="A258" s="18" t="s">
        <v>264</v>
      </c>
      <c r="B258" s="18"/>
      <c r="C258" s="18"/>
      <c r="D258" s="18">
        <v>12500</v>
      </c>
      <c r="E258" s="18">
        <v>15000</v>
      </c>
    </row>
    <row r="259" spans="1:7" x14ac:dyDescent="0.25">
      <c r="A259" s="498" t="s">
        <v>265</v>
      </c>
      <c r="B259" s="499"/>
      <c r="C259" s="499"/>
      <c r="D259" s="499"/>
      <c r="E259" s="500"/>
    </row>
    <row r="260" spans="1:7" x14ac:dyDescent="0.25">
      <c r="A260" s="5" t="s">
        <v>266</v>
      </c>
      <c r="B260" s="5" t="s">
        <v>0</v>
      </c>
      <c r="C260" s="5"/>
      <c r="D260" s="5">
        <v>2100</v>
      </c>
      <c r="E260" s="5">
        <v>2520</v>
      </c>
    </row>
    <row r="261" spans="1:7" x14ac:dyDescent="0.25">
      <c r="A261" s="5" t="s">
        <v>267</v>
      </c>
      <c r="B261" s="5" t="s">
        <v>0</v>
      </c>
      <c r="C261" s="5"/>
      <c r="D261" s="5">
        <v>2100</v>
      </c>
      <c r="E261" s="5">
        <v>2520</v>
      </c>
    </row>
    <row r="262" spans="1:7" x14ac:dyDescent="0.25">
      <c r="A262" s="18" t="s">
        <v>268</v>
      </c>
      <c r="B262" s="18" t="s">
        <v>0</v>
      </c>
      <c r="C262" s="18"/>
      <c r="D262" s="18">
        <v>2200</v>
      </c>
      <c r="E262" s="18">
        <v>2640</v>
      </c>
    </row>
    <row r="263" spans="1:7" x14ac:dyDescent="0.25">
      <c r="A263" s="5" t="s">
        <v>269</v>
      </c>
      <c r="B263" s="5" t="s">
        <v>0</v>
      </c>
      <c r="C263" s="5"/>
      <c r="D263" s="5">
        <v>2300</v>
      </c>
      <c r="E263" s="5">
        <v>2760</v>
      </c>
    </row>
    <row r="264" spans="1:7" x14ac:dyDescent="0.25">
      <c r="A264" s="5" t="s">
        <v>270</v>
      </c>
      <c r="B264" s="5" t="s">
        <v>0</v>
      </c>
      <c r="C264" s="5" t="s">
        <v>271</v>
      </c>
      <c r="D264" s="5">
        <v>1400</v>
      </c>
      <c r="E264" s="5">
        <v>1680</v>
      </c>
    </row>
    <row r="265" spans="1:7" x14ac:dyDescent="0.25">
      <c r="A265" s="18" t="s">
        <v>270</v>
      </c>
      <c r="B265" s="18" t="s">
        <v>0</v>
      </c>
      <c r="C265" s="18"/>
      <c r="D265" s="18">
        <v>1080</v>
      </c>
      <c r="E265" s="18">
        <v>1296</v>
      </c>
    </row>
    <row r="266" spans="1:7" x14ac:dyDescent="0.25">
      <c r="A266" s="18" t="s">
        <v>272</v>
      </c>
      <c r="B266" s="18" t="s">
        <v>0</v>
      </c>
      <c r="C266" s="18"/>
      <c r="D266" s="18">
        <v>1080</v>
      </c>
      <c r="E266" s="18">
        <v>1296</v>
      </c>
    </row>
    <row r="267" spans="1:7" x14ac:dyDescent="0.25">
      <c r="A267" s="18" t="s">
        <v>273</v>
      </c>
      <c r="B267" s="18" t="s">
        <v>0</v>
      </c>
      <c r="C267" s="18"/>
      <c r="D267" s="18">
        <v>2000</v>
      </c>
      <c r="E267" s="18">
        <v>2400</v>
      </c>
    </row>
    <row r="268" spans="1:7" x14ac:dyDescent="0.25">
      <c r="A268" s="5" t="s">
        <v>274</v>
      </c>
      <c r="B268" s="5" t="s">
        <v>275</v>
      </c>
      <c r="C268" s="5" t="s">
        <v>276</v>
      </c>
      <c r="D268" s="5">
        <v>250</v>
      </c>
      <c r="E268" s="5">
        <v>300</v>
      </c>
    </row>
    <row r="269" spans="1:7" x14ac:dyDescent="0.25">
      <c r="A269" s="5" t="s">
        <v>277</v>
      </c>
      <c r="B269" s="5" t="s">
        <v>275</v>
      </c>
      <c r="C269" s="5" t="s">
        <v>276</v>
      </c>
      <c r="D269" s="5">
        <v>100</v>
      </c>
      <c r="E269" s="5">
        <v>120</v>
      </c>
    </row>
    <row r="270" spans="1:7" x14ac:dyDescent="0.25">
      <c r="A270" s="5" t="s">
        <v>278</v>
      </c>
      <c r="B270" s="5" t="s">
        <v>275</v>
      </c>
      <c r="C270" s="5" t="s">
        <v>279</v>
      </c>
      <c r="D270" s="5">
        <v>200</v>
      </c>
      <c r="E270" s="5">
        <v>240</v>
      </c>
    </row>
    <row r="271" spans="1:7" x14ac:dyDescent="0.25">
      <c r="A271" s="501" t="s">
        <v>280</v>
      </c>
      <c r="B271" s="502"/>
      <c r="C271" s="502"/>
      <c r="D271" s="502"/>
      <c r="E271" s="503"/>
    </row>
    <row r="272" spans="1:7" x14ac:dyDescent="0.25">
      <c r="A272" s="5" t="s">
        <v>281</v>
      </c>
      <c r="B272" s="5" t="s">
        <v>41</v>
      </c>
      <c r="C272" s="5"/>
      <c r="D272" s="5">
        <v>22</v>
      </c>
      <c r="E272" s="5">
        <v>26.4</v>
      </c>
      <c r="G272" s="4" t="s">
        <v>405</v>
      </c>
    </row>
    <row r="273" spans="1:5" x14ac:dyDescent="0.25">
      <c r="A273" s="5" t="s">
        <v>282</v>
      </c>
      <c r="B273" s="5" t="s">
        <v>41</v>
      </c>
      <c r="C273" s="5"/>
      <c r="D273" s="5">
        <v>23.5</v>
      </c>
      <c r="E273" s="5">
        <v>28.2</v>
      </c>
    </row>
    <row r="274" spans="1:5" x14ac:dyDescent="0.25">
      <c r="A274" s="5" t="s">
        <v>283</v>
      </c>
      <c r="B274" s="5" t="s">
        <v>41</v>
      </c>
      <c r="C274" s="5"/>
      <c r="D274" s="5">
        <v>25</v>
      </c>
      <c r="E274" s="5">
        <v>30</v>
      </c>
    </row>
    <row r="275" spans="1:5" x14ac:dyDescent="0.25">
      <c r="A275" s="5" t="s">
        <v>284</v>
      </c>
      <c r="B275" s="5" t="s">
        <v>41</v>
      </c>
      <c r="C275" s="5"/>
      <c r="D275" s="5">
        <v>9</v>
      </c>
      <c r="E275" s="5">
        <v>10.799999999999999</v>
      </c>
    </row>
    <row r="276" spans="1:5" x14ac:dyDescent="0.25">
      <c r="A276" s="5" t="s">
        <v>285</v>
      </c>
      <c r="B276" s="5" t="s">
        <v>41</v>
      </c>
      <c r="C276" s="5"/>
      <c r="D276" s="5">
        <v>9.5</v>
      </c>
      <c r="E276" s="5">
        <v>11.4</v>
      </c>
    </row>
    <row r="277" spans="1:5" x14ac:dyDescent="0.25">
      <c r="A277" s="5" t="s">
        <v>286</v>
      </c>
      <c r="B277" s="5" t="s">
        <v>41</v>
      </c>
      <c r="C277" s="5"/>
      <c r="D277" s="5">
        <v>13.5</v>
      </c>
      <c r="E277" s="5">
        <v>16.2</v>
      </c>
    </row>
    <row r="278" spans="1:5" x14ac:dyDescent="0.25">
      <c r="A278" s="5" t="s">
        <v>287</v>
      </c>
      <c r="B278" s="5" t="s">
        <v>41</v>
      </c>
      <c r="C278" s="5"/>
      <c r="D278" s="5">
        <v>15.5</v>
      </c>
      <c r="E278" s="5">
        <v>18.599999999999998</v>
      </c>
    </row>
    <row r="279" spans="1:5" x14ac:dyDescent="0.25">
      <c r="A279" s="5" t="s">
        <v>288</v>
      </c>
      <c r="B279" s="5" t="s">
        <v>41</v>
      </c>
      <c r="C279" s="5"/>
      <c r="D279" s="5">
        <v>23</v>
      </c>
      <c r="E279" s="5">
        <v>27.599999999999998</v>
      </c>
    </row>
    <row r="280" spans="1:5" x14ac:dyDescent="0.25">
      <c r="A280" s="5" t="s">
        <v>289</v>
      </c>
      <c r="B280" s="5" t="s">
        <v>41</v>
      </c>
      <c r="C280" s="5"/>
      <c r="D280" s="5">
        <v>24.5</v>
      </c>
      <c r="E280" s="5">
        <v>29.4</v>
      </c>
    </row>
    <row r="281" spans="1:5" x14ac:dyDescent="0.25">
      <c r="A281" s="501" t="s">
        <v>290</v>
      </c>
      <c r="B281" s="502"/>
      <c r="C281" s="502"/>
      <c r="D281" s="502"/>
      <c r="E281" s="503"/>
    </row>
    <row r="282" spans="1:5" x14ac:dyDescent="0.25">
      <c r="A282" s="5" t="s">
        <v>291</v>
      </c>
      <c r="B282" s="5" t="s">
        <v>0</v>
      </c>
      <c r="C282" s="5" t="s">
        <v>292</v>
      </c>
      <c r="D282" s="5">
        <v>90</v>
      </c>
      <c r="E282" s="5">
        <v>108</v>
      </c>
    </row>
    <row r="283" spans="1:5" x14ac:dyDescent="0.25">
      <c r="A283" s="5" t="s">
        <v>293</v>
      </c>
      <c r="B283" s="5" t="s">
        <v>0</v>
      </c>
      <c r="C283" s="5"/>
      <c r="D283" s="5">
        <v>400</v>
      </c>
      <c r="E283" s="5">
        <v>480</v>
      </c>
    </row>
    <row r="284" spans="1:5" x14ac:dyDescent="0.25">
      <c r="A284" s="5" t="s">
        <v>294</v>
      </c>
      <c r="B284" s="5" t="s">
        <v>0</v>
      </c>
      <c r="C284" s="5"/>
      <c r="D284" s="5">
        <v>2000</v>
      </c>
      <c r="E284" s="5">
        <v>2400</v>
      </c>
    </row>
    <row r="285" spans="1:5" x14ac:dyDescent="0.25">
      <c r="A285" s="5" t="s">
        <v>295</v>
      </c>
      <c r="B285" s="5" t="s">
        <v>0</v>
      </c>
      <c r="C285" s="5"/>
      <c r="D285" s="5">
        <v>300</v>
      </c>
      <c r="E285" s="5">
        <v>360</v>
      </c>
    </row>
    <row r="286" spans="1:5" x14ac:dyDescent="0.25">
      <c r="A286" s="5" t="s">
        <v>296</v>
      </c>
      <c r="B286" s="5" t="s">
        <v>0</v>
      </c>
      <c r="C286" s="5"/>
      <c r="D286" s="5">
        <v>150</v>
      </c>
      <c r="E286" s="5">
        <v>180</v>
      </c>
    </row>
    <row r="287" spans="1:5" x14ac:dyDescent="0.25">
      <c r="A287" s="5" t="s">
        <v>297</v>
      </c>
      <c r="B287" s="5" t="s">
        <v>0</v>
      </c>
      <c r="C287" s="5"/>
      <c r="D287" s="5">
        <v>1300</v>
      </c>
      <c r="E287" s="5">
        <v>1560</v>
      </c>
    </row>
    <row r="288" spans="1:5" x14ac:dyDescent="0.25">
      <c r="A288" s="5" t="s">
        <v>298</v>
      </c>
      <c r="B288" s="5" t="s">
        <v>0</v>
      </c>
      <c r="C288" s="5"/>
      <c r="D288" s="5">
        <v>2600</v>
      </c>
      <c r="E288" s="5">
        <v>3120</v>
      </c>
    </row>
    <row r="289" spans="1:5" x14ac:dyDescent="0.25">
      <c r="A289" s="5" t="s">
        <v>299</v>
      </c>
      <c r="B289" s="5" t="s">
        <v>41</v>
      </c>
      <c r="C289" s="5"/>
      <c r="D289" s="5">
        <v>150</v>
      </c>
      <c r="E289" s="5">
        <v>180</v>
      </c>
    </row>
    <row r="290" spans="1:5" x14ac:dyDescent="0.25">
      <c r="A290" s="5" t="s">
        <v>300</v>
      </c>
      <c r="B290" s="5" t="s">
        <v>41</v>
      </c>
      <c r="C290" s="5"/>
      <c r="D290" s="5">
        <v>200</v>
      </c>
      <c r="E290" s="5">
        <v>240</v>
      </c>
    </row>
    <row r="291" spans="1:5" x14ac:dyDescent="0.25">
      <c r="A291" s="5" t="s">
        <v>301</v>
      </c>
      <c r="B291" s="5" t="s">
        <v>41</v>
      </c>
      <c r="C291" s="5"/>
      <c r="D291" s="5">
        <v>600</v>
      </c>
      <c r="E291" s="5">
        <v>720</v>
      </c>
    </row>
    <row r="292" spans="1:5" x14ac:dyDescent="0.25">
      <c r="A292" s="6" t="s">
        <v>302</v>
      </c>
      <c r="B292" s="5" t="s">
        <v>0</v>
      </c>
      <c r="C292" s="5"/>
      <c r="D292" s="5">
        <v>3000</v>
      </c>
      <c r="E292" s="5">
        <v>3600</v>
      </c>
    </row>
    <row r="293" spans="1:5" x14ac:dyDescent="0.25">
      <c r="A293" s="6" t="s">
        <v>303</v>
      </c>
      <c r="B293" s="5" t="s">
        <v>0</v>
      </c>
      <c r="C293" s="5"/>
      <c r="D293" s="5">
        <v>5000</v>
      </c>
      <c r="E293" s="5">
        <v>6000</v>
      </c>
    </row>
    <row r="294" spans="1:5" ht="30" x14ac:dyDescent="0.25">
      <c r="A294" s="6" t="s">
        <v>304</v>
      </c>
      <c r="B294" s="5" t="s">
        <v>0</v>
      </c>
      <c r="C294" s="5"/>
      <c r="D294" s="5">
        <v>6500</v>
      </c>
      <c r="E294" s="5">
        <v>7800</v>
      </c>
    </row>
    <row r="295" spans="1:5" x14ac:dyDescent="0.25">
      <c r="A295" s="6" t="s">
        <v>305</v>
      </c>
      <c r="B295" s="5" t="s">
        <v>0</v>
      </c>
      <c r="C295" s="5"/>
      <c r="D295" s="5">
        <v>5000</v>
      </c>
      <c r="E295" s="5">
        <v>6000</v>
      </c>
    </row>
    <row r="296" spans="1:5" x14ac:dyDescent="0.25">
      <c r="A296" s="5" t="s">
        <v>306</v>
      </c>
      <c r="B296" s="5" t="s">
        <v>0</v>
      </c>
      <c r="C296" s="5"/>
      <c r="D296" s="5">
        <v>7000</v>
      </c>
      <c r="E296" s="5">
        <v>8400</v>
      </c>
    </row>
    <row r="297" spans="1:5" x14ac:dyDescent="0.25">
      <c r="A297" s="6" t="s">
        <v>307</v>
      </c>
      <c r="B297" s="5" t="s">
        <v>0</v>
      </c>
      <c r="C297" s="5"/>
      <c r="D297" s="5">
        <v>9000</v>
      </c>
      <c r="E297" s="5">
        <v>10800</v>
      </c>
    </row>
    <row r="298" spans="1:5" ht="30" x14ac:dyDescent="0.25">
      <c r="A298" s="5" t="s">
        <v>308</v>
      </c>
      <c r="B298" s="5" t="s">
        <v>0</v>
      </c>
      <c r="C298" s="6" t="s">
        <v>309</v>
      </c>
      <c r="D298" s="5">
        <v>16000</v>
      </c>
      <c r="E298" s="5">
        <v>19200</v>
      </c>
    </row>
    <row r="299" spans="1:5" x14ac:dyDescent="0.25">
      <c r="A299" s="5" t="s">
        <v>310</v>
      </c>
      <c r="B299" s="5" t="s">
        <v>0</v>
      </c>
      <c r="C299" s="5"/>
      <c r="D299" s="5">
        <v>19000</v>
      </c>
      <c r="E299" s="5">
        <v>22800</v>
      </c>
    </row>
    <row r="300" spans="1:5" x14ac:dyDescent="0.25">
      <c r="A300" s="18" t="s">
        <v>398</v>
      </c>
      <c r="B300" s="18" t="s">
        <v>5</v>
      </c>
      <c r="C300" s="18"/>
      <c r="D300" s="18">
        <v>10000</v>
      </c>
      <c r="E300" s="18">
        <v>18000</v>
      </c>
    </row>
    <row r="301" spans="1:5" x14ac:dyDescent="0.25">
      <c r="A301" s="501" t="s">
        <v>311</v>
      </c>
      <c r="B301" s="502"/>
      <c r="C301" s="502"/>
      <c r="D301" s="502"/>
      <c r="E301" s="503"/>
    </row>
    <row r="302" spans="1:5" x14ac:dyDescent="0.25">
      <c r="A302" s="5" t="s">
        <v>312</v>
      </c>
      <c r="B302" s="5" t="s">
        <v>179</v>
      </c>
      <c r="C302" s="5" t="s">
        <v>313</v>
      </c>
      <c r="D302" s="5">
        <v>95</v>
      </c>
      <c r="E302" s="5">
        <v>114</v>
      </c>
    </row>
    <row r="303" spans="1:5" x14ac:dyDescent="0.25">
      <c r="A303" s="5" t="s">
        <v>314</v>
      </c>
      <c r="B303" s="5" t="s">
        <v>0</v>
      </c>
      <c r="C303" s="5" t="s">
        <v>315</v>
      </c>
      <c r="D303" s="5">
        <v>10</v>
      </c>
      <c r="E303" s="5">
        <v>12</v>
      </c>
    </row>
    <row r="304" spans="1:5" x14ac:dyDescent="0.25">
      <c r="A304" s="5" t="s">
        <v>316</v>
      </c>
      <c r="B304" s="5" t="s">
        <v>0</v>
      </c>
      <c r="C304" s="5"/>
      <c r="D304" s="5">
        <v>350</v>
      </c>
      <c r="E304" s="5">
        <v>420</v>
      </c>
    </row>
    <row r="305" spans="1:5" x14ac:dyDescent="0.25">
      <c r="A305" s="5" t="s">
        <v>317</v>
      </c>
      <c r="B305" s="5" t="s">
        <v>0</v>
      </c>
      <c r="C305" s="5" t="s">
        <v>318</v>
      </c>
      <c r="D305" s="5">
        <v>300</v>
      </c>
      <c r="E305" s="5">
        <v>360</v>
      </c>
    </row>
    <row r="306" spans="1:5" x14ac:dyDescent="0.25">
      <c r="A306" s="5" t="s">
        <v>319</v>
      </c>
      <c r="B306" s="5" t="s">
        <v>0</v>
      </c>
      <c r="C306" s="5" t="s">
        <v>320</v>
      </c>
      <c r="D306" s="5">
        <v>60</v>
      </c>
      <c r="E306" s="5">
        <v>108</v>
      </c>
    </row>
    <row r="307" spans="1:5" x14ac:dyDescent="0.25">
      <c r="A307" s="18" t="s">
        <v>399</v>
      </c>
      <c r="B307" s="18" t="s">
        <v>5</v>
      </c>
      <c r="C307" s="18"/>
      <c r="D307" s="18">
        <v>20</v>
      </c>
      <c r="E307" s="18"/>
    </row>
    <row r="308" spans="1:5" ht="14.45" x14ac:dyDescent="0.3">
      <c r="A308" s="13"/>
      <c r="B308" s="14"/>
      <c r="C308" s="14"/>
      <c r="D308" s="14"/>
      <c r="E308" s="5">
        <v>0</v>
      </c>
    </row>
    <row r="309" spans="1:5" x14ac:dyDescent="0.25">
      <c r="A309" s="5" t="s">
        <v>321</v>
      </c>
      <c r="B309" s="5" t="s">
        <v>1</v>
      </c>
      <c r="C309" s="5"/>
      <c r="D309" s="5">
        <v>7800</v>
      </c>
      <c r="E309" s="5">
        <v>9360</v>
      </c>
    </row>
    <row r="310" spans="1:5" x14ac:dyDescent="0.25">
      <c r="A310" s="5" t="s">
        <v>322</v>
      </c>
      <c r="B310" s="5" t="s">
        <v>1</v>
      </c>
      <c r="C310" s="5"/>
      <c r="D310" s="5">
        <v>8600</v>
      </c>
      <c r="E310" s="5">
        <v>10320</v>
      </c>
    </row>
    <row r="311" spans="1:5" x14ac:dyDescent="0.25">
      <c r="A311" s="5" t="s">
        <v>323</v>
      </c>
      <c r="B311" s="5" t="s">
        <v>1</v>
      </c>
      <c r="C311" s="5"/>
      <c r="D311" s="5">
        <v>11500</v>
      </c>
      <c r="E311" s="5">
        <v>13800</v>
      </c>
    </row>
    <row r="312" spans="1:5" x14ac:dyDescent="0.25">
      <c r="A312" s="5" t="s">
        <v>323</v>
      </c>
      <c r="B312" s="5" t="s">
        <v>1</v>
      </c>
      <c r="C312" s="5" t="s">
        <v>2</v>
      </c>
      <c r="D312" s="5">
        <v>13000</v>
      </c>
      <c r="E312" s="5">
        <v>15600</v>
      </c>
    </row>
    <row r="313" spans="1:5" x14ac:dyDescent="0.25">
      <c r="A313" s="5" t="s">
        <v>324</v>
      </c>
      <c r="B313" s="5" t="s">
        <v>1</v>
      </c>
      <c r="C313" s="5"/>
      <c r="D313" s="5">
        <v>28000</v>
      </c>
      <c r="E313" s="5">
        <v>33600</v>
      </c>
    </row>
    <row r="314" spans="1:5" ht="14.45" x14ac:dyDescent="0.3">
      <c r="A314" s="19"/>
      <c r="B314" s="20"/>
      <c r="C314" s="20"/>
      <c r="D314" s="20"/>
      <c r="E314" s="21"/>
    </row>
    <row r="315" spans="1:5" x14ac:dyDescent="0.25">
      <c r="A315" s="504" t="s">
        <v>389</v>
      </c>
      <c r="B315" s="505"/>
      <c r="C315" s="505"/>
      <c r="D315" s="505"/>
      <c r="E315" s="506"/>
    </row>
    <row r="316" spans="1:5" x14ac:dyDescent="0.25">
      <c r="A316" s="5" t="s">
        <v>386</v>
      </c>
      <c r="B316" s="5" t="s">
        <v>4</v>
      </c>
      <c r="C316" s="5" t="s">
        <v>392</v>
      </c>
      <c r="D316" s="5">
        <v>250</v>
      </c>
      <c r="E316" s="5"/>
    </row>
    <row r="317" spans="1:5" x14ac:dyDescent="0.25">
      <c r="A317" s="5" t="s">
        <v>387</v>
      </c>
      <c r="B317" s="5" t="s">
        <v>367</v>
      </c>
      <c r="C317" s="5" t="s">
        <v>391</v>
      </c>
      <c r="D317" s="5">
        <v>150</v>
      </c>
      <c r="E317" s="5"/>
    </row>
    <row r="318" spans="1:5" x14ac:dyDescent="0.25">
      <c r="A318" s="5" t="s">
        <v>388</v>
      </c>
      <c r="B318" s="5" t="s">
        <v>367</v>
      </c>
      <c r="C318" s="5" t="s">
        <v>390</v>
      </c>
      <c r="D318" s="5">
        <v>800</v>
      </c>
      <c r="E318" s="5"/>
    </row>
    <row r="319" spans="1:5" x14ac:dyDescent="0.25">
      <c r="A319" s="495" t="s">
        <v>3</v>
      </c>
      <c r="B319" s="496"/>
      <c r="C319" s="496"/>
      <c r="D319" s="496"/>
      <c r="E319" s="497"/>
    </row>
    <row r="320" spans="1:5" ht="30" x14ac:dyDescent="0.25">
      <c r="A320" s="6" t="s">
        <v>325</v>
      </c>
      <c r="B320" s="5" t="s">
        <v>0</v>
      </c>
      <c r="C320" s="5"/>
      <c r="D320" s="5">
        <v>208</v>
      </c>
      <c r="E320" s="5">
        <v>249.6</v>
      </c>
    </row>
    <row r="321" spans="1:5" x14ac:dyDescent="0.25">
      <c r="A321" s="5" t="s">
        <v>326</v>
      </c>
      <c r="B321" s="5" t="s">
        <v>50</v>
      </c>
      <c r="C321" s="5"/>
      <c r="D321" s="5">
        <v>80</v>
      </c>
      <c r="E321" s="5">
        <v>96</v>
      </c>
    </row>
    <row r="322" spans="1:5" x14ac:dyDescent="0.25">
      <c r="A322" s="5" t="s">
        <v>327</v>
      </c>
      <c r="B322" s="5" t="s">
        <v>50</v>
      </c>
      <c r="C322" s="5"/>
      <c r="D322" s="5">
        <v>42</v>
      </c>
      <c r="E322" s="5">
        <v>50.4</v>
      </c>
    </row>
    <row r="323" spans="1:5" x14ac:dyDescent="0.25">
      <c r="A323" s="5" t="s">
        <v>328</v>
      </c>
      <c r="B323" s="5" t="s">
        <v>50</v>
      </c>
      <c r="C323" s="5"/>
      <c r="D323" s="5">
        <v>49.18</v>
      </c>
      <c r="E323" s="5">
        <v>59.015999999999998</v>
      </c>
    </row>
    <row r="324" spans="1:5" x14ac:dyDescent="0.25">
      <c r="A324" s="5" t="s">
        <v>329</v>
      </c>
      <c r="B324" s="5" t="s">
        <v>50</v>
      </c>
      <c r="C324" s="5"/>
      <c r="D324" s="5">
        <v>42</v>
      </c>
      <c r="E324" s="5">
        <v>50.4</v>
      </c>
    </row>
    <row r="325" spans="1:5" x14ac:dyDescent="0.25">
      <c r="A325" s="5" t="s">
        <v>330</v>
      </c>
      <c r="B325" s="5" t="s">
        <v>50</v>
      </c>
      <c r="C325" s="5"/>
      <c r="D325" s="5">
        <v>47.91</v>
      </c>
      <c r="E325" s="5">
        <v>57.491999999999997</v>
      </c>
    </row>
    <row r="326" spans="1:5" x14ac:dyDescent="0.25">
      <c r="A326" s="5" t="s">
        <v>331</v>
      </c>
      <c r="B326" s="5" t="s">
        <v>50</v>
      </c>
      <c r="C326" s="5"/>
      <c r="D326" s="5">
        <v>47.91</v>
      </c>
      <c r="E326" s="5">
        <v>57.491999999999997</v>
      </c>
    </row>
    <row r="327" spans="1:5" x14ac:dyDescent="0.25">
      <c r="A327" s="5" t="s">
        <v>332</v>
      </c>
      <c r="B327" s="5" t="s">
        <v>50</v>
      </c>
      <c r="C327" s="5"/>
      <c r="D327" s="5">
        <v>47.91</v>
      </c>
      <c r="E327" s="5">
        <v>57.491999999999997</v>
      </c>
    </row>
    <row r="328" spans="1:5" x14ac:dyDescent="0.25">
      <c r="A328" s="5" t="s">
        <v>333</v>
      </c>
      <c r="B328" s="5" t="s">
        <v>50</v>
      </c>
      <c r="C328" s="5"/>
      <c r="D328" s="5">
        <v>47.91</v>
      </c>
      <c r="E328" s="5">
        <v>57.491999999999997</v>
      </c>
    </row>
    <row r="329" spans="1:5" x14ac:dyDescent="0.25">
      <c r="A329" s="6" t="s">
        <v>334</v>
      </c>
      <c r="B329" s="5" t="s">
        <v>50</v>
      </c>
      <c r="C329" s="5"/>
      <c r="D329" s="5">
        <v>140</v>
      </c>
      <c r="E329" s="5">
        <v>168</v>
      </c>
    </row>
    <row r="330" spans="1:5" x14ac:dyDescent="0.25">
      <c r="A330" s="6" t="s">
        <v>335</v>
      </c>
      <c r="B330" s="5" t="s">
        <v>50</v>
      </c>
      <c r="C330" s="5"/>
      <c r="D330" s="5">
        <v>120</v>
      </c>
      <c r="E330" s="5">
        <v>144</v>
      </c>
    </row>
    <row r="331" spans="1:5" x14ac:dyDescent="0.25">
      <c r="A331" s="6" t="s">
        <v>335</v>
      </c>
      <c r="B331" s="5" t="s">
        <v>50</v>
      </c>
      <c r="C331" s="5"/>
      <c r="D331" s="5">
        <v>80</v>
      </c>
      <c r="E331" s="5">
        <v>96</v>
      </c>
    </row>
    <row r="332" spans="1:5" x14ac:dyDescent="0.25">
      <c r="A332" s="6" t="s">
        <v>336</v>
      </c>
      <c r="B332" s="5" t="s">
        <v>50</v>
      </c>
      <c r="C332" s="5"/>
      <c r="D332" s="5">
        <v>69.45</v>
      </c>
      <c r="E332" s="5">
        <v>83.34</v>
      </c>
    </row>
    <row r="333" spans="1:5" x14ac:dyDescent="0.25">
      <c r="A333" s="6" t="s">
        <v>337</v>
      </c>
      <c r="B333" s="5" t="s">
        <v>50</v>
      </c>
      <c r="C333" s="5"/>
      <c r="D333" s="5">
        <v>68.510000000000005</v>
      </c>
      <c r="E333" s="5">
        <v>82.212000000000003</v>
      </c>
    </row>
    <row r="334" spans="1:5" x14ac:dyDescent="0.25">
      <c r="A334" s="6" t="s">
        <v>338</v>
      </c>
      <c r="B334" s="5" t="s">
        <v>50</v>
      </c>
      <c r="C334" s="5"/>
      <c r="D334" s="5">
        <v>67.67</v>
      </c>
      <c r="E334" s="5">
        <v>81.203999999999994</v>
      </c>
    </row>
    <row r="335" spans="1:5" x14ac:dyDescent="0.25">
      <c r="A335" s="6" t="s">
        <v>339</v>
      </c>
      <c r="B335" s="5" t="s">
        <v>50</v>
      </c>
      <c r="C335" s="5"/>
      <c r="D335" s="5">
        <v>81.2</v>
      </c>
      <c r="E335" s="5">
        <v>97.44</v>
      </c>
    </row>
    <row r="336" spans="1:5" x14ac:dyDescent="0.25">
      <c r="A336" s="6" t="s">
        <v>340</v>
      </c>
      <c r="B336" s="5" t="s">
        <v>50</v>
      </c>
      <c r="C336" s="5"/>
      <c r="D336" s="5">
        <v>83.1</v>
      </c>
      <c r="E336" s="5">
        <v>99.719999999999985</v>
      </c>
    </row>
    <row r="337" spans="1:5" x14ac:dyDescent="0.25">
      <c r="A337" s="5" t="s">
        <v>341</v>
      </c>
      <c r="B337" s="5" t="s">
        <v>50</v>
      </c>
      <c r="C337" s="5"/>
      <c r="D337" s="5">
        <v>100</v>
      </c>
      <c r="E337" s="5">
        <v>120</v>
      </c>
    </row>
    <row r="338" spans="1:5" x14ac:dyDescent="0.25">
      <c r="A338" s="6" t="s">
        <v>342</v>
      </c>
      <c r="B338" s="5" t="s">
        <v>50</v>
      </c>
      <c r="C338" s="5"/>
      <c r="D338" s="5">
        <v>100</v>
      </c>
      <c r="E338" s="5">
        <v>120</v>
      </c>
    </row>
    <row r="339" spans="1:5" x14ac:dyDescent="0.25">
      <c r="A339" s="5" t="s">
        <v>343</v>
      </c>
      <c r="B339" s="5" t="s">
        <v>50</v>
      </c>
      <c r="C339" s="5"/>
      <c r="D339" s="5">
        <v>100</v>
      </c>
      <c r="E339" s="5">
        <v>120</v>
      </c>
    </row>
    <row r="340" spans="1:5" x14ac:dyDescent="0.25">
      <c r="A340" s="5" t="s">
        <v>344</v>
      </c>
      <c r="B340" s="5" t="s">
        <v>50</v>
      </c>
      <c r="C340" s="5"/>
      <c r="D340" s="5">
        <v>100</v>
      </c>
      <c r="E340" s="5">
        <v>120</v>
      </c>
    </row>
    <row r="341" spans="1:5" x14ac:dyDescent="0.25">
      <c r="A341" s="5" t="s">
        <v>345</v>
      </c>
      <c r="B341" s="5" t="s">
        <v>50</v>
      </c>
      <c r="C341" s="5"/>
      <c r="D341" s="5">
        <v>100</v>
      </c>
      <c r="E341" s="5">
        <v>120</v>
      </c>
    </row>
    <row r="342" spans="1:5" x14ac:dyDescent="0.25">
      <c r="A342" s="5" t="s">
        <v>346</v>
      </c>
      <c r="B342" s="5" t="s">
        <v>50</v>
      </c>
      <c r="C342" s="5"/>
      <c r="D342" s="5">
        <v>100</v>
      </c>
      <c r="E342" s="5">
        <v>120</v>
      </c>
    </row>
    <row r="343" spans="1:5" ht="30" x14ac:dyDescent="0.25">
      <c r="A343" s="6" t="s">
        <v>347</v>
      </c>
      <c r="B343" s="5" t="s">
        <v>50</v>
      </c>
      <c r="C343" s="5"/>
      <c r="D343" s="5">
        <v>130</v>
      </c>
      <c r="E343" s="5">
        <v>156</v>
      </c>
    </row>
    <row r="344" spans="1:5" ht="30" x14ac:dyDescent="0.25">
      <c r="A344" s="6" t="s">
        <v>348</v>
      </c>
      <c r="B344" s="5" t="s">
        <v>50</v>
      </c>
      <c r="C344" s="5"/>
      <c r="D344" s="5">
        <v>121</v>
      </c>
      <c r="E344" s="5">
        <v>145.19999999999999</v>
      </c>
    </row>
    <row r="345" spans="1:5" ht="30" x14ac:dyDescent="0.25">
      <c r="A345" s="6" t="s">
        <v>349</v>
      </c>
      <c r="B345" s="5" t="s">
        <v>50</v>
      </c>
      <c r="C345" s="5"/>
      <c r="D345" s="5">
        <v>121</v>
      </c>
      <c r="E345" s="5">
        <v>145.19999999999999</v>
      </c>
    </row>
    <row r="346" spans="1:5" x14ac:dyDescent="0.25">
      <c r="A346" s="6" t="s">
        <v>350</v>
      </c>
      <c r="B346" s="5" t="s">
        <v>50</v>
      </c>
      <c r="C346" s="5"/>
      <c r="D346" s="5">
        <v>125.1</v>
      </c>
      <c r="E346" s="5">
        <v>150.11999999999998</v>
      </c>
    </row>
    <row r="347" spans="1:5" ht="30" x14ac:dyDescent="0.25">
      <c r="A347" s="6" t="s">
        <v>351</v>
      </c>
      <c r="B347" s="6" t="s">
        <v>50</v>
      </c>
      <c r="C347" s="5"/>
      <c r="D347" s="5">
        <v>130</v>
      </c>
      <c r="E347" s="5">
        <v>156</v>
      </c>
    </row>
    <row r="348" spans="1:5" ht="30" x14ac:dyDescent="0.25">
      <c r="A348" s="6" t="s">
        <v>352</v>
      </c>
      <c r="B348" s="5" t="s">
        <v>50</v>
      </c>
      <c r="C348" s="5"/>
      <c r="D348" s="5">
        <v>121</v>
      </c>
      <c r="E348" s="5">
        <v>145.19999999999999</v>
      </c>
    </row>
    <row r="349" spans="1:5" ht="30" x14ac:dyDescent="0.25">
      <c r="A349" s="6" t="s">
        <v>353</v>
      </c>
      <c r="B349" s="5" t="s">
        <v>50</v>
      </c>
      <c r="C349" s="5"/>
      <c r="D349" s="5">
        <v>121</v>
      </c>
      <c r="E349" s="5">
        <v>145.19999999999999</v>
      </c>
    </row>
    <row r="350" spans="1:5" x14ac:dyDescent="0.25">
      <c r="A350" s="5" t="s">
        <v>354</v>
      </c>
      <c r="B350" s="5" t="s">
        <v>50</v>
      </c>
      <c r="C350" s="5"/>
      <c r="D350" s="5">
        <v>250</v>
      </c>
      <c r="E350" s="5">
        <v>300</v>
      </c>
    </row>
    <row r="351" spans="1:5" x14ac:dyDescent="0.25">
      <c r="A351" s="5" t="s">
        <v>355</v>
      </c>
      <c r="B351" s="5" t="s">
        <v>50</v>
      </c>
      <c r="C351" s="5"/>
      <c r="D351" s="5">
        <v>145</v>
      </c>
      <c r="E351" s="5">
        <v>174</v>
      </c>
    </row>
    <row r="352" spans="1:5" x14ac:dyDescent="0.25">
      <c r="A352" s="6" t="s">
        <v>356</v>
      </c>
      <c r="B352" s="5" t="s">
        <v>0</v>
      </c>
      <c r="C352" s="5"/>
      <c r="D352" s="5">
        <v>57</v>
      </c>
      <c r="E352" s="5">
        <v>68.399999999999991</v>
      </c>
    </row>
    <row r="353" spans="1:5" x14ac:dyDescent="0.25">
      <c r="A353" s="6" t="s">
        <v>357</v>
      </c>
      <c r="B353" s="5" t="s">
        <v>0</v>
      </c>
      <c r="C353" s="5"/>
      <c r="D353" s="5">
        <v>48</v>
      </c>
      <c r="E353" s="5">
        <v>57.599999999999994</v>
      </c>
    </row>
    <row r="354" spans="1:5" x14ac:dyDescent="0.25">
      <c r="A354" s="5" t="s">
        <v>358</v>
      </c>
      <c r="B354" s="5" t="s">
        <v>50</v>
      </c>
      <c r="C354" s="5"/>
      <c r="D354" s="5">
        <v>139.74</v>
      </c>
      <c r="E354" s="5">
        <v>167.68800000000002</v>
      </c>
    </row>
    <row r="355" spans="1:5" x14ac:dyDescent="0.25">
      <c r="A355" s="5" t="s">
        <v>359</v>
      </c>
      <c r="B355" s="5" t="s">
        <v>50</v>
      </c>
      <c r="C355" s="5"/>
      <c r="D355" s="5">
        <v>90</v>
      </c>
      <c r="E355" s="5">
        <v>108</v>
      </c>
    </row>
    <row r="356" spans="1:5" x14ac:dyDescent="0.25">
      <c r="A356" s="5" t="s">
        <v>360</v>
      </c>
      <c r="B356" s="5" t="s">
        <v>0</v>
      </c>
      <c r="C356" s="5"/>
      <c r="D356" s="5">
        <v>0.97</v>
      </c>
      <c r="E356" s="5">
        <v>1.1639999999999999</v>
      </c>
    </row>
    <row r="357" spans="1:5" x14ac:dyDescent="0.25">
      <c r="A357" s="5" t="s">
        <v>361</v>
      </c>
      <c r="B357" s="5" t="s">
        <v>50</v>
      </c>
      <c r="C357" s="5"/>
      <c r="D357" s="5">
        <v>100</v>
      </c>
      <c r="E357" s="5">
        <v>120</v>
      </c>
    </row>
    <row r="358" spans="1:5" x14ac:dyDescent="0.25">
      <c r="A358" s="12"/>
      <c r="B358" s="12"/>
      <c r="C358" s="12"/>
      <c r="D358" s="12"/>
      <c r="E358" s="12"/>
    </row>
    <row r="359" spans="1:5" x14ac:dyDescent="0.25">
      <c r="A359" s="15" t="s">
        <v>393</v>
      </c>
      <c r="B359" s="15"/>
      <c r="C359" s="15" t="s">
        <v>394</v>
      </c>
      <c r="D359" s="15">
        <v>500</v>
      </c>
      <c r="E359" s="1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</sheetData>
  <sheetProtection formatCells="0" formatColumns="0" formatRows="0" insertColumns="0" insertRows="0" insertHyperlinks="0" deleteColumns="0" deleteRows="0" sort="0" autoFilter="0" pivotTables="0"/>
  <mergeCells count="43">
    <mergeCell ref="A127:E127"/>
    <mergeCell ref="A2:E2"/>
    <mergeCell ref="A3:E3"/>
    <mergeCell ref="A30:E30"/>
    <mergeCell ref="A38:E38"/>
    <mergeCell ref="A54:E54"/>
    <mergeCell ref="A65:E65"/>
    <mergeCell ref="A100:E100"/>
    <mergeCell ref="A111:E111"/>
    <mergeCell ref="A112:E112"/>
    <mergeCell ref="A115:E115"/>
    <mergeCell ref="A118:E118"/>
    <mergeCell ref="A189:E189"/>
    <mergeCell ref="A137:E137"/>
    <mergeCell ref="A138:E138"/>
    <mergeCell ref="A139:E139"/>
    <mergeCell ref="A142:E142"/>
    <mergeCell ref="A151:E151"/>
    <mergeCell ref="A154:E154"/>
    <mergeCell ref="A157:E157"/>
    <mergeCell ref="A165:E165"/>
    <mergeCell ref="A173:E173"/>
    <mergeCell ref="A177:E177"/>
    <mergeCell ref="A184:E184"/>
    <mergeCell ref="A254:E254"/>
    <mergeCell ref="A197:E197"/>
    <mergeCell ref="A202:E202"/>
    <mergeCell ref="A205:E205"/>
    <mergeCell ref="A208:E208"/>
    <mergeCell ref="A209:E209"/>
    <mergeCell ref="A210:E210"/>
    <mergeCell ref="A216:E216"/>
    <mergeCell ref="A229:E229"/>
    <mergeCell ref="A236:E236"/>
    <mergeCell ref="A241:E241"/>
    <mergeCell ref="A242:E242"/>
    <mergeCell ref="A319:E319"/>
    <mergeCell ref="A255:E255"/>
    <mergeCell ref="A259:E259"/>
    <mergeCell ref="A271:E271"/>
    <mergeCell ref="A281:E281"/>
    <mergeCell ref="A301:E301"/>
    <mergeCell ref="A315:E3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2"/>
  <sheetViews>
    <sheetView topLeftCell="A262" zoomScaleNormal="100" workbookViewId="0">
      <selection activeCell="B250" sqref="B250"/>
    </sheetView>
  </sheetViews>
  <sheetFormatPr defaultRowHeight="15" x14ac:dyDescent="0.25"/>
  <cols>
    <col min="1" max="1" width="55.42578125" style="108" customWidth="1"/>
    <col min="2" max="2" width="18" customWidth="1"/>
    <col min="3" max="3" width="18" style="4" customWidth="1"/>
    <col min="4" max="4" width="17.7109375" customWidth="1"/>
    <col min="5" max="5" width="13.140625" customWidth="1"/>
    <col min="6" max="6" width="13.140625" style="4" customWidth="1"/>
    <col min="7" max="7" width="14.42578125" style="65" customWidth="1"/>
    <col min="8" max="8" width="40.7109375" style="110" customWidth="1"/>
    <col min="9" max="9" width="16.7109375" style="110" customWidth="1"/>
    <col min="10" max="10" width="34.5703125" style="110" customWidth="1"/>
    <col min="11" max="11" width="12.5703125" customWidth="1"/>
    <col min="12" max="12" width="11.85546875" customWidth="1"/>
    <col min="13" max="13" width="23.7109375" customWidth="1"/>
  </cols>
  <sheetData>
    <row r="1" spans="1:13" s="4" customFormat="1" x14ac:dyDescent="0.25">
      <c r="A1" s="70" t="s">
        <v>437</v>
      </c>
      <c r="B1" s="3">
        <v>0</v>
      </c>
      <c r="C1" s="22"/>
      <c r="D1" s="41" t="s">
        <v>441</v>
      </c>
      <c r="E1" s="73" t="s">
        <v>715</v>
      </c>
      <c r="F1" s="47"/>
      <c r="G1" s="55"/>
      <c r="H1" s="110"/>
      <c r="I1" s="110"/>
      <c r="J1" s="110"/>
    </row>
    <row r="2" spans="1:13" s="4" customFormat="1" ht="14.45" x14ac:dyDescent="0.3">
      <c r="A2" s="52"/>
      <c r="B2" s="22"/>
      <c r="C2" s="22"/>
      <c r="D2" s="22"/>
      <c r="E2" s="22"/>
      <c r="F2" s="22"/>
      <c r="G2" s="55"/>
      <c r="H2" s="110"/>
      <c r="I2" s="110"/>
      <c r="J2" s="110"/>
    </row>
    <row r="3" spans="1:13" s="4" customFormat="1" thickBot="1" x14ac:dyDescent="0.35">
      <c r="A3" s="96"/>
      <c r="B3" s="55"/>
      <c r="C3" s="55"/>
      <c r="D3" s="55"/>
      <c r="E3" s="55"/>
      <c r="F3" s="55"/>
      <c r="G3" s="55"/>
      <c r="H3" s="110"/>
      <c r="I3" s="110"/>
      <c r="J3" s="110"/>
    </row>
    <row r="4" spans="1:13" s="4" customFormat="1" ht="15.75" thickBot="1" x14ac:dyDescent="0.3">
      <c r="A4" s="97" t="s">
        <v>444</v>
      </c>
      <c r="B4" s="56" t="s">
        <v>407</v>
      </c>
      <c r="C4" s="56" t="s">
        <v>415</v>
      </c>
      <c r="D4" s="57" t="s">
        <v>406</v>
      </c>
      <c r="E4" s="56" t="s">
        <v>395</v>
      </c>
      <c r="F4" s="382" t="s">
        <v>906</v>
      </c>
      <c r="G4" s="57" t="s">
        <v>445</v>
      </c>
      <c r="H4" s="115" t="s">
        <v>641</v>
      </c>
      <c r="I4" s="190"/>
      <c r="J4" s="190"/>
      <c r="K4" s="16"/>
      <c r="L4" s="16"/>
      <c r="M4" s="16"/>
    </row>
    <row r="5" spans="1:13" s="4" customFormat="1" ht="15.75" thickBot="1" x14ac:dyDescent="0.3">
      <c r="A5" s="525" t="s">
        <v>7</v>
      </c>
      <c r="B5" s="526"/>
      <c r="C5" s="526"/>
      <c r="D5" s="526"/>
      <c r="E5" s="526"/>
      <c r="F5" s="526"/>
      <c r="G5" s="526"/>
      <c r="H5" s="116"/>
      <c r="I5" s="190"/>
      <c r="J5" s="190"/>
      <c r="K5" s="16"/>
      <c r="L5" s="16"/>
      <c r="M5" s="16"/>
    </row>
    <row r="6" spans="1:13" s="65" customFormat="1" x14ac:dyDescent="0.25">
      <c r="A6" s="122" t="s">
        <v>480</v>
      </c>
      <c r="B6" s="123"/>
      <c r="C6" s="123" t="s">
        <v>0</v>
      </c>
      <c r="D6" s="124"/>
      <c r="E6" s="125"/>
      <c r="F6" s="370"/>
      <c r="G6" s="126">
        <f>F6*B6</f>
        <v>0</v>
      </c>
      <c r="H6" s="121"/>
      <c r="I6" s="190"/>
      <c r="J6" s="190"/>
      <c r="K6" s="66"/>
      <c r="L6" s="17"/>
      <c r="M6" s="16"/>
    </row>
    <row r="7" spans="1:13" s="4" customFormat="1" x14ac:dyDescent="0.25">
      <c r="A7" s="127" t="s">
        <v>70</v>
      </c>
      <c r="B7" s="58"/>
      <c r="C7" s="58" t="s">
        <v>0</v>
      </c>
      <c r="D7" s="59"/>
      <c r="E7" s="59"/>
      <c r="F7" s="371"/>
      <c r="G7" s="438">
        <f t="shared" ref="G7:G10" si="0">F7*B7</f>
        <v>0</v>
      </c>
      <c r="H7" s="121" t="s">
        <v>990</v>
      </c>
      <c r="I7" s="190"/>
      <c r="J7" s="190"/>
      <c r="K7" s="66"/>
      <c r="L7" s="17"/>
      <c r="M7" s="16"/>
    </row>
    <row r="8" spans="1:13" s="65" customFormat="1" x14ac:dyDescent="0.25">
      <c r="A8" s="128" t="s">
        <v>72</v>
      </c>
      <c r="B8" s="2"/>
      <c r="C8" s="2" t="s">
        <v>0</v>
      </c>
      <c r="D8" s="39"/>
      <c r="E8" s="39"/>
      <c r="F8" s="371"/>
      <c r="G8" s="438">
        <f t="shared" si="0"/>
        <v>0</v>
      </c>
      <c r="H8" s="121"/>
      <c r="I8" s="190"/>
      <c r="J8" s="190"/>
      <c r="K8" s="66"/>
      <c r="L8" s="17"/>
      <c r="M8" s="16"/>
    </row>
    <row r="9" spans="1:13" s="4" customFormat="1" x14ac:dyDescent="0.25">
      <c r="A9" s="127" t="s">
        <v>481</v>
      </c>
      <c r="B9" s="58"/>
      <c r="C9" s="58" t="s">
        <v>0</v>
      </c>
      <c r="D9" s="59"/>
      <c r="E9" s="59"/>
      <c r="F9" s="371"/>
      <c r="G9" s="438">
        <f t="shared" si="0"/>
        <v>0</v>
      </c>
      <c r="H9" s="121"/>
      <c r="I9" s="190"/>
      <c r="J9" s="190"/>
      <c r="K9" s="66"/>
      <c r="L9" s="17"/>
      <c r="M9" s="17"/>
    </row>
    <row r="10" spans="1:13" s="65" customFormat="1" ht="15.75" thickBot="1" x14ac:dyDescent="0.3">
      <c r="A10" s="128" t="s">
        <v>482</v>
      </c>
      <c r="B10" s="53">
        <f>ROUNDUP(B6/8+B7*1.2+B8*1.5+B9*1.7,0)</f>
        <v>0</v>
      </c>
      <c r="C10" s="2" t="s">
        <v>0</v>
      </c>
      <c r="D10" s="39"/>
      <c r="E10" s="39"/>
      <c r="F10" s="40">
        <v>0</v>
      </c>
      <c r="G10" s="439">
        <f t="shared" si="0"/>
        <v>0</v>
      </c>
      <c r="H10" s="121"/>
      <c r="I10" s="190"/>
      <c r="J10" s="190"/>
      <c r="K10" s="66"/>
      <c r="L10" s="17"/>
      <c r="M10" s="17"/>
    </row>
    <row r="11" spans="1:13" ht="15.75" thickBot="1" x14ac:dyDescent="0.3">
      <c r="A11" s="127" t="s">
        <v>67</v>
      </c>
      <c r="B11" s="58">
        <v>1</v>
      </c>
      <c r="C11" s="58" t="s">
        <v>0</v>
      </c>
      <c r="D11" s="58"/>
      <c r="E11" s="59"/>
      <c r="F11" s="383">
        <v>438</v>
      </c>
      <c r="G11" s="441">
        <f>B11*F11</f>
        <v>438</v>
      </c>
      <c r="H11" s="121"/>
      <c r="I11" s="190"/>
      <c r="J11" s="190"/>
      <c r="K11" s="66"/>
      <c r="L11" s="17"/>
      <c r="M11" s="16"/>
    </row>
    <row r="12" spans="1:13" s="65" customFormat="1" ht="15.75" thickBot="1" x14ac:dyDescent="0.3">
      <c r="A12" s="128" t="s">
        <v>483</v>
      </c>
      <c r="B12" s="2">
        <v>2</v>
      </c>
      <c r="C12" s="2" t="s">
        <v>0</v>
      </c>
      <c r="D12" s="2"/>
      <c r="E12" s="39"/>
      <c r="F12" s="384">
        <v>460</v>
      </c>
      <c r="G12" s="259">
        <f>B12*F12</f>
        <v>920</v>
      </c>
      <c r="H12" s="121"/>
      <c r="I12" s="190"/>
      <c r="J12" s="190"/>
      <c r="K12" s="66"/>
      <c r="L12" s="17"/>
      <c r="M12" s="16"/>
    </row>
    <row r="13" spans="1:13" s="4" customFormat="1" x14ac:dyDescent="0.25">
      <c r="A13" s="127" t="s">
        <v>484</v>
      </c>
      <c r="B13" s="95">
        <f>ROUNDUP(B7*2+B8*2+B9*2,0)</f>
        <v>0</v>
      </c>
      <c r="C13" s="58" t="s">
        <v>0</v>
      </c>
      <c r="D13" s="58"/>
      <c r="E13" s="58"/>
      <c r="F13" s="50">
        <v>0</v>
      </c>
      <c r="G13" s="129">
        <f>F13*B13</f>
        <v>0</v>
      </c>
      <c r="H13" s="532" t="s">
        <v>708</v>
      </c>
      <c r="I13" s="190"/>
      <c r="J13" s="190"/>
      <c r="K13" s="66"/>
      <c r="L13" s="17"/>
      <c r="M13" s="16"/>
    </row>
    <row r="14" spans="1:13" s="65" customFormat="1" x14ac:dyDescent="0.25">
      <c r="A14" s="128" t="s">
        <v>485</v>
      </c>
      <c r="B14" s="95">
        <f>ROUNDUP(B7*2+B8*2+B9*2,0)</f>
        <v>0</v>
      </c>
      <c r="C14" s="2" t="s">
        <v>0</v>
      </c>
      <c r="D14" s="2"/>
      <c r="E14" s="2"/>
      <c r="F14" s="3">
        <v>0</v>
      </c>
      <c r="G14" s="129">
        <f t="shared" ref="G14:G23" si="1">F14*B14</f>
        <v>0</v>
      </c>
      <c r="H14" s="533"/>
      <c r="I14" s="190"/>
      <c r="J14" s="190"/>
      <c r="K14" s="66"/>
      <c r="L14" s="17"/>
      <c r="M14" s="16"/>
    </row>
    <row r="15" spans="1:13" s="65" customFormat="1" ht="22.5" customHeight="1" x14ac:dyDescent="0.25">
      <c r="A15" s="128" t="s">
        <v>625</v>
      </c>
      <c r="B15" s="173"/>
      <c r="C15" s="36" t="s">
        <v>0</v>
      </c>
      <c r="D15" s="2"/>
      <c r="E15" s="2"/>
      <c r="F15" s="3">
        <v>0</v>
      </c>
      <c r="G15" s="129">
        <f t="shared" si="1"/>
        <v>0</v>
      </c>
      <c r="H15" s="532" t="s">
        <v>707</v>
      </c>
      <c r="I15" s="190"/>
      <c r="J15" s="190"/>
      <c r="K15" s="66"/>
      <c r="L15" s="17"/>
      <c r="M15" s="16"/>
    </row>
    <row r="16" spans="1:13" s="65" customFormat="1" ht="30" customHeight="1" x14ac:dyDescent="0.25">
      <c r="A16" s="127" t="s">
        <v>566</v>
      </c>
      <c r="B16" s="174">
        <f>B15*4*2</f>
        <v>0</v>
      </c>
      <c r="C16" s="62" t="s">
        <v>0</v>
      </c>
      <c r="D16" s="58"/>
      <c r="E16" s="58"/>
      <c r="F16" s="3">
        <v>0</v>
      </c>
      <c r="G16" s="129">
        <f t="shared" si="1"/>
        <v>0</v>
      </c>
      <c r="H16" s="534"/>
      <c r="I16" s="190"/>
      <c r="J16" s="190"/>
      <c r="K16" s="66"/>
      <c r="L16" s="17"/>
      <c r="M16" s="16"/>
    </row>
    <row r="17" spans="1:13" s="65" customFormat="1" ht="27.75" customHeight="1" x14ac:dyDescent="0.25">
      <c r="A17" s="128" t="s">
        <v>626</v>
      </c>
      <c r="B17" s="175">
        <f>B15*2*4</f>
        <v>0</v>
      </c>
      <c r="C17" s="36" t="s">
        <v>0</v>
      </c>
      <c r="D17" s="2"/>
      <c r="E17" s="2"/>
      <c r="F17" s="3">
        <v>0</v>
      </c>
      <c r="G17" s="129">
        <f t="shared" si="1"/>
        <v>0</v>
      </c>
      <c r="H17" s="533"/>
      <c r="I17" s="190"/>
      <c r="J17" s="190"/>
      <c r="K17" s="66"/>
      <c r="L17" s="17"/>
      <c r="M17" s="16"/>
    </row>
    <row r="18" spans="1:13" s="65" customFormat="1" x14ac:dyDescent="0.25">
      <c r="A18" s="444" t="s">
        <v>1013</v>
      </c>
      <c r="B18" s="174">
        <f>B17</f>
        <v>0</v>
      </c>
      <c r="C18" s="46" t="s">
        <v>0</v>
      </c>
      <c r="D18" s="34"/>
      <c r="E18" s="34"/>
      <c r="F18" s="50"/>
      <c r="G18" s="129"/>
      <c r="H18" s="442"/>
      <c r="I18" s="190"/>
      <c r="J18" s="190"/>
      <c r="K18" s="66"/>
      <c r="L18" s="17"/>
      <c r="M18" s="443"/>
    </row>
    <row r="19" spans="1:13" s="65" customFormat="1" x14ac:dyDescent="0.25">
      <c r="A19" s="157" t="s">
        <v>627</v>
      </c>
      <c r="B19" s="60"/>
      <c r="C19" s="60" t="s">
        <v>0</v>
      </c>
      <c r="D19" s="60"/>
      <c r="E19" s="60"/>
      <c r="F19" s="369"/>
      <c r="G19" s="129">
        <f t="shared" si="1"/>
        <v>0</v>
      </c>
      <c r="H19" s="121"/>
      <c r="I19" s="190"/>
      <c r="J19" s="190"/>
      <c r="K19" s="66"/>
      <c r="L19" s="17"/>
      <c r="M19" s="16"/>
    </row>
    <row r="20" spans="1:13" s="65" customFormat="1" x14ac:dyDescent="0.25">
      <c r="A20" s="128" t="s">
        <v>628</v>
      </c>
      <c r="B20" s="2"/>
      <c r="C20" s="2" t="s">
        <v>0</v>
      </c>
      <c r="D20" s="2"/>
      <c r="E20" s="2"/>
      <c r="F20" s="367"/>
      <c r="G20" s="129">
        <f t="shared" si="1"/>
        <v>0</v>
      </c>
      <c r="H20" s="121"/>
      <c r="I20" s="190"/>
      <c r="J20" s="190"/>
      <c r="K20" s="66"/>
      <c r="L20" s="17"/>
      <c r="M20" s="16"/>
    </row>
    <row r="21" spans="1:13" s="65" customFormat="1" x14ac:dyDescent="0.25">
      <c r="A21" s="127" t="s">
        <v>629</v>
      </c>
      <c r="B21" s="58"/>
      <c r="C21" s="58" t="s">
        <v>0</v>
      </c>
      <c r="D21" s="58"/>
      <c r="E21" s="58"/>
      <c r="F21" s="367"/>
      <c r="G21" s="129">
        <f t="shared" si="1"/>
        <v>0</v>
      </c>
      <c r="H21" s="121"/>
      <c r="I21" s="190"/>
      <c r="J21" s="190"/>
      <c r="K21" s="66"/>
      <c r="L21" s="17"/>
      <c r="M21" s="16"/>
    </row>
    <row r="22" spans="1:13" s="65" customFormat="1" x14ac:dyDescent="0.25">
      <c r="A22" s="128" t="s">
        <v>630</v>
      </c>
      <c r="B22" s="2"/>
      <c r="C22" s="2" t="s">
        <v>0</v>
      </c>
      <c r="D22" s="2"/>
      <c r="E22" s="2"/>
      <c r="F22" s="367"/>
      <c r="G22" s="129">
        <f t="shared" si="1"/>
        <v>0</v>
      </c>
      <c r="H22" s="121"/>
      <c r="I22" s="190"/>
      <c r="J22" s="190"/>
      <c r="K22" s="66"/>
      <c r="L22" s="17"/>
      <c r="M22" s="16"/>
    </row>
    <row r="23" spans="1:13" s="65" customFormat="1" ht="15.75" thickBot="1" x14ac:dyDescent="0.3">
      <c r="A23" s="131" t="s">
        <v>649</v>
      </c>
      <c r="B23" s="132"/>
      <c r="C23" s="132" t="s">
        <v>0</v>
      </c>
      <c r="D23" s="132"/>
      <c r="E23" s="132"/>
      <c r="F23" s="132">
        <v>219</v>
      </c>
      <c r="G23" s="274">
        <f t="shared" si="1"/>
        <v>0</v>
      </c>
      <c r="H23" s="121"/>
      <c r="I23" s="190"/>
      <c r="J23" s="190"/>
      <c r="K23" s="66"/>
      <c r="L23" s="17"/>
      <c r="M23" s="16"/>
    </row>
    <row r="24" spans="1:13" s="65" customFormat="1" ht="15.75" thickBot="1" x14ac:dyDescent="0.3">
      <c r="A24" s="540" t="s">
        <v>632</v>
      </c>
      <c r="B24" s="541"/>
      <c r="C24" s="541"/>
      <c r="D24" s="541"/>
      <c r="E24" s="541"/>
      <c r="F24" s="526"/>
      <c r="G24" s="542"/>
      <c r="H24" s="113"/>
      <c r="I24" s="190"/>
      <c r="J24" s="190"/>
      <c r="K24" s="66"/>
      <c r="L24" s="17"/>
      <c r="M24" s="16"/>
    </row>
    <row r="25" spans="1:13" s="65" customFormat="1" x14ac:dyDescent="0.25">
      <c r="A25" s="98" t="s">
        <v>564</v>
      </c>
      <c r="B25" s="34"/>
      <c r="C25" s="34" t="s">
        <v>4</v>
      </c>
      <c r="D25" s="34"/>
      <c r="E25" s="34"/>
      <c r="F25" s="368"/>
      <c r="G25" s="38">
        <f>F25*B25</f>
        <v>0</v>
      </c>
      <c r="H25" s="111"/>
      <c r="I25" s="190"/>
      <c r="J25" s="190"/>
      <c r="K25" s="66"/>
      <c r="L25" s="17"/>
      <c r="M25" s="16"/>
    </row>
    <row r="26" spans="1:13" s="65" customFormat="1" x14ac:dyDescent="0.25">
      <c r="A26" s="102" t="s">
        <v>562</v>
      </c>
      <c r="B26" s="89">
        <f>(B25*0.05)/0.036</f>
        <v>0</v>
      </c>
      <c r="C26" s="60" t="s">
        <v>0</v>
      </c>
      <c r="D26" s="60"/>
      <c r="E26" s="60"/>
      <c r="F26" s="368"/>
      <c r="G26" s="38">
        <f t="shared" ref="G26:G30" si="2">F26*B26</f>
        <v>0</v>
      </c>
      <c r="H26" s="111"/>
      <c r="I26" s="190"/>
      <c r="J26" s="190"/>
      <c r="K26" s="66"/>
      <c r="L26" s="17"/>
      <c r="M26" s="16"/>
    </row>
    <row r="27" spans="1:13" s="65" customFormat="1" x14ac:dyDescent="0.25">
      <c r="A27" s="98" t="s">
        <v>504</v>
      </c>
      <c r="B27" s="89">
        <f>B25/3.375</f>
        <v>0</v>
      </c>
      <c r="C27" s="34" t="s">
        <v>0</v>
      </c>
      <c r="D27" s="34"/>
      <c r="E27" s="34"/>
      <c r="F27" s="368"/>
      <c r="G27" s="38">
        <f t="shared" si="2"/>
        <v>0</v>
      </c>
      <c r="H27" s="113"/>
      <c r="I27" s="190"/>
      <c r="J27" s="190"/>
      <c r="K27" s="66"/>
      <c r="L27" s="17"/>
      <c r="M27" s="16"/>
    </row>
    <row r="28" spans="1:13" s="65" customFormat="1" x14ac:dyDescent="0.25">
      <c r="A28" s="102" t="s">
        <v>631</v>
      </c>
      <c r="B28" s="94">
        <f>B25/0.4*2</f>
        <v>0</v>
      </c>
      <c r="C28" s="60" t="s">
        <v>567</v>
      </c>
      <c r="D28" s="60"/>
      <c r="E28" s="60"/>
      <c r="F28" s="368"/>
      <c r="G28" s="38">
        <f t="shared" si="2"/>
        <v>0</v>
      </c>
      <c r="H28" s="113" t="s">
        <v>684</v>
      </c>
      <c r="I28" s="190"/>
      <c r="J28" s="190"/>
      <c r="K28" s="66"/>
      <c r="L28" s="17"/>
      <c r="M28" s="16"/>
    </row>
    <row r="29" spans="1:13" s="65" customFormat="1" x14ac:dyDescent="0.25">
      <c r="A29" s="98" t="s">
        <v>489</v>
      </c>
      <c r="B29" s="94">
        <f>B25/0.4*2/3</f>
        <v>0</v>
      </c>
      <c r="C29" s="34" t="s">
        <v>0</v>
      </c>
      <c r="D29" s="34"/>
      <c r="E29" s="34"/>
      <c r="F29" s="368"/>
      <c r="G29" s="38">
        <f t="shared" si="2"/>
        <v>0</v>
      </c>
      <c r="H29" s="113" t="s">
        <v>685</v>
      </c>
      <c r="I29" s="190"/>
      <c r="J29" s="190"/>
      <c r="K29" s="66"/>
      <c r="L29" s="17"/>
      <c r="M29" s="16"/>
    </row>
    <row r="30" spans="1:13" s="65" customFormat="1" ht="15.75" thickBot="1" x14ac:dyDescent="0.3">
      <c r="A30" s="97" t="s">
        <v>614</v>
      </c>
      <c r="B30" s="152">
        <f>B25/0.4/1.9</f>
        <v>0</v>
      </c>
      <c r="C30" s="56" t="s">
        <v>0</v>
      </c>
      <c r="D30" s="56"/>
      <c r="E30" s="56"/>
      <c r="F30" s="368"/>
      <c r="G30" s="38">
        <f t="shared" si="2"/>
        <v>0</v>
      </c>
      <c r="H30" s="113"/>
      <c r="I30" s="190"/>
      <c r="J30" s="190"/>
      <c r="K30" s="66"/>
      <c r="L30" s="17"/>
      <c r="M30" s="16"/>
    </row>
    <row r="31" spans="1:13" s="65" customFormat="1" ht="15.75" thickBot="1" x14ac:dyDescent="0.3">
      <c r="A31" s="525" t="s">
        <v>683</v>
      </c>
      <c r="B31" s="526"/>
      <c r="C31" s="526"/>
      <c r="D31" s="526"/>
      <c r="E31" s="526"/>
      <c r="F31" s="530"/>
      <c r="G31" s="531"/>
      <c r="H31" s="113"/>
      <c r="I31" s="190"/>
      <c r="J31" s="190"/>
      <c r="K31" s="66"/>
      <c r="L31" s="17"/>
      <c r="M31" s="16"/>
    </row>
    <row r="32" spans="1:13" s="65" customFormat="1" x14ac:dyDescent="0.25">
      <c r="A32" s="176" t="s">
        <v>686</v>
      </c>
      <c r="B32" s="178"/>
      <c r="C32" s="178" t="s">
        <v>0</v>
      </c>
      <c r="D32" s="177"/>
      <c r="E32" s="126">
        <f>0.05*0.1*6*B32</f>
        <v>0</v>
      </c>
      <c r="F32" s="397">
        <v>11500</v>
      </c>
      <c r="G32" s="126">
        <f>F32*E32</f>
        <v>0</v>
      </c>
      <c r="H32" s="121"/>
      <c r="I32" s="190"/>
      <c r="J32" s="190"/>
      <c r="K32" s="66"/>
      <c r="L32" s="17"/>
      <c r="M32" s="16"/>
    </row>
    <row r="33" spans="1:13" s="65" customFormat="1" x14ac:dyDescent="0.25">
      <c r="A33" s="128" t="s">
        <v>687</v>
      </c>
      <c r="B33" s="36"/>
      <c r="C33" s="36" t="s">
        <v>0</v>
      </c>
      <c r="D33" s="169"/>
      <c r="E33" s="129">
        <f>0.05*0.15*6*B33</f>
        <v>0</v>
      </c>
      <c r="F33" s="365">
        <v>11500</v>
      </c>
      <c r="G33" s="438">
        <f t="shared" ref="G33:G54" si="3">F33*E33</f>
        <v>0</v>
      </c>
      <c r="H33" s="121"/>
      <c r="I33" s="190"/>
      <c r="J33" s="190"/>
      <c r="K33" s="66"/>
      <c r="L33" s="17"/>
      <c r="M33" s="16"/>
    </row>
    <row r="34" spans="1:13" s="65" customFormat="1" x14ac:dyDescent="0.25">
      <c r="A34" s="127" t="s">
        <v>688</v>
      </c>
      <c r="B34" s="63"/>
      <c r="C34" s="62" t="s">
        <v>0</v>
      </c>
      <c r="D34" s="168"/>
      <c r="E34" s="129">
        <f>0.05*0.2*6*B34</f>
        <v>0</v>
      </c>
      <c r="F34" s="365">
        <v>11500</v>
      </c>
      <c r="G34" s="438">
        <f t="shared" si="3"/>
        <v>0</v>
      </c>
      <c r="H34" s="121"/>
      <c r="I34" s="190"/>
      <c r="J34" s="190"/>
      <c r="K34" s="66"/>
      <c r="L34" s="17"/>
      <c r="M34" s="16"/>
    </row>
    <row r="35" spans="1:13" s="65" customFormat="1" x14ac:dyDescent="0.25">
      <c r="A35" s="128" t="s">
        <v>689</v>
      </c>
      <c r="B35" s="36"/>
      <c r="C35" s="36" t="s">
        <v>0</v>
      </c>
      <c r="D35" s="169"/>
      <c r="E35" s="129">
        <f>0.1*0.1*6*B35</f>
        <v>0</v>
      </c>
      <c r="F35" s="365">
        <v>11500</v>
      </c>
      <c r="G35" s="438">
        <f t="shared" si="3"/>
        <v>0</v>
      </c>
      <c r="H35" s="121"/>
      <c r="I35" s="190"/>
      <c r="J35" s="190"/>
      <c r="K35" s="66"/>
      <c r="L35" s="17"/>
      <c r="M35" s="16"/>
    </row>
    <row r="36" spans="1:13" s="65" customFormat="1" x14ac:dyDescent="0.25">
      <c r="A36" s="127" t="s">
        <v>690</v>
      </c>
      <c r="B36" s="63"/>
      <c r="C36" s="62" t="s">
        <v>0</v>
      </c>
      <c r="D36" s="168"/>
      <c r="E36" s="129">
        <f>0.1*0.15*6*B36</f>
        <v>0</v>
      </c>
      <c r="F36" s="365">
        <v>11500</v>
      </c>
      <c r="G36" s="438">
        <f t="shared" si="3"/>
        <v>0</v>
      </c>
      <c r="H36" s="121"/>
      <c r="I36" s="190"/>
      <c r="J36" s="190"/>
      <c r="K36" s="66"/>
      <c r="L36" s="17"/>
      <c r="M36" s="16"/>
    </row>
    <row r="37" spans="1:13" s="65" customFormat="1" x14ac:dyDescent="0.25">
      <c r="A37" s="128" t="s">
        <v>691</v>
      </c>
      <c r="B37" s="36"/>
      <c r="C37" s="36" t="s">
        <v>0</v>
      </c>
      <c r="D37" s="169"/>
      <c r="E37" s="129">
        <f>0.1*0.2*6*B37</f>
        <v>0</v>
      </c>
      <c r="F37" s="365">
        <v>11500</v>
      </c>
      <c r="G37" s="438">
        <f t="shared" si="3"/>
        <v>0</v>
      </c>
      <c r="H37" s="121"/>
      <c r="I37" s="190"/>
      <c r="J37" s="190"/>
      <c r="K37" s="66"/>
      <c r="L37" s="17"/>
      <c r="M37" s="16"/>
    </row>
    <row r="38" spans="1:13" s="65" customFormat="1" x14ac:dyDescent="0.25">
      <c r="A38" s="127" t="s">
        <v>692</v>
      </c>
      <c r="B38" s="63"/>
      <c r="C38" s="62" t="s">
        <v>0</v>
      </c>
      <c r="D38" s="168"/>
      <c r="E38" s="129">
        <f>0.15*0.15*6*B38</f>
        <v>0</v>
      </c>
      <c r="F38" s="365">
        <v>11500</v>
      </c>
      <c r="G38" s="438">
        <f t="shared" si="3"/>
        <v>0</v>
      </c>
      <c r="H38" s="121"/>
      <c r="I38" s="190"/>
      <c r="J38" s="190"/>
      <c r="K38" s="66"/>
      <c r="L38" s="17"/>
      <c r="M38" s="16"/>
    </row>
    <row r="39" spans="1:13" s="65" customFormat="1" x14ac:dyDescent="0.25">
      <c r="A39" s="128" t="s">
        <v>693</v>
      </c>
      <c r="B39" s="36"/>
      <c r="C39" s="36" t="s">
        <v>0</v>
      </c>
      <c r="D39" s="169"/>
      <c r="E39" s="129">
        <f>0.15*0.2*6*B39</f>
        <v>0</v>
      </c>
      <c r="F39" s="365">
        <v>11500</v>
      </c>
      <c r="G39" s="438">
        <f t="shared" si="3"/>
        <v>0</v>
      </c>
      <c r="H39" s="121"/>
      <c r="I39" s="190"/>
      <c r="J39" s="190"/>
      <c r="K39" s="66"/>
      <c r="L39" s="17"/>
      <c r="M39" s="16"/>
    </row>
    <row r="40" spans="1:13" s="65" customFormat="1" x14ac:dyDescent="0.25">
      <c r="A40" s="162" t="s">
        <v>694</v>
      </c>
      <c r="B40" s="63"/>
      <c r="C40" s="62" t="s">
        <v>0</v>
      </c>
      <c r="D40" s="168"/>
      <c r="E40" s="129">
        <f>0.2*0.2*6*B40</f>
        <v>0</v>
      </c>
      <c r="F40" s="365">
        <v>11500</v>
      </c>
      <c r="G40" s="438">
        <f t="shared" si="3"/>
        <v>0</v>
      </c>
      <c r="H40" s="121"/>
      <c r="I40" s="190"/>
      <c r="J40" s="190"/>
      <c r="K40" s="66"/>
      <c r="L40" s="17"/>
      <c r="M40" s="16"/>
    </row>
    <row r="41" spans="1:13" s="65" customFormat="1" x14ac:dyDescent="0.25">
      <c r="A41" s="128" t="s">
        <v>695</v>
      </c>
      <c r="B41" s="36"/>
      <c r="C41" s="36" t="s">
        <v>0</v>
      </c>
      <c r="D41" s="169"/>
      <c r="E41" s="129">
        <f>0.05*0.1*6*B41</f>
        <v>0</v>
      </c>
      <c r="F41" s="63">
        <v>13500</v>
      </c>
      <c r="G41" s="438">
        <f t="shared" si="3"/>
        <v>0</v>
      </c>
      <c r="H41" s="121"/>
      <c r="I41" s="190"/>
      <c r="J41" s="190"/>
      <c r="K41" s="66"/>
      <c r="L41" s="17"/>
      <c r="M41" s="16"/>
    </row>
    <row r="42" spans="1:13" s="65" customFormat="1" x14ac:dyDescent="0.25">
      <c r="A42" s="127" t="s">
        <v>696</v>
      </c>
      <c r="B42" s="63"/>
      <c r="C42" s="62" t="s">
        <v>0</v>
      </c>
      <c r="D42" s="168"/>
      <c r="E42" s="129">
        <f>0.05*0.15*6*B42</f>
        <v>0</v>
      </c>
      <c r="F42" s="63">
        <v>13500</v>
      </c>
      <c r="G42" s="438">
        <f t="shared" si="3"/>
        <v>0</v>
      </c>
      <c r="H42" s="121"/>
      <c r="I42" s="190"/>
      <c r="J42" s="190"/>
      <c r="K42" s="66"/>
      <c r="L42" s="17"/>
      <c r="M42" s="16"/>
    </row>
    <row r="43" spans="1:13" s="65" customFormat="1" x14ac:dyDescent="0.25">
      <c r="A43" s="128" t="s">
        <v>697</v>
      </c>
      <c r="B43" s="36"/>
      <c r="C43" s="36" t="s">
        <v>0</v>
      </c>
      <c r="D43" s="169"/>
      <c r="E43" s="129">
        <f>0.05*0.2*6*B43</f>
        <v>0</v>
      </c>
      <c r="F43" s="63">
        <v>13500</v>
      </c>
      <c r="G43" s="438">
        <f t="shared" si="3"/>
        <v>0</v>
      </c>
      <c r="H43" s="121"/>
      <c r="I43" s="190"/>
      <c r="J43" s="190"/>
      <c r="K43" s="66"/>
      <c r="L43" s="17"/>
      <c r="M43" s="16"/>
    </row>
    <row r="44" spans="1:13" s="65" customFormat="1" x14ac:dyDescent="0.25">
      <c r="A44" s="127" t="s">
        <v>698</v>
      </c>
      <c r="B44" s="63"/>
      <c r="C44" s="62" t="s">
        <v>0</v>
      </c>
      <c r="D44" s="168"/>
      <c r="E44" s="129">
        <f>0.1*0.1*6*B44</f>
        <v>0</v>
      </c>
      <c r="F44" s="63">
        <v>13500</v>
      </c>
      <c r="G44" s="438">
        <f t="shared" si="3"/>
        <v>0</v>
      </c>
      <c r="H44" s="121"/>
      <c r="I44" s="190"/>
      <c r="J44" s="190"/>
      <c r="K44" s="66"/>
      <c r="L44" s="17"/>
      <c r="M44" s="16"/>
    </row>
    <row r="45" spans="1:13" s="65" customFormat="1" x14ac:dyDescent="0.25">
      <c r="A45" s="128" t="s">
        <v>699</v>
      </c>
      <c r="B45" s="36"/>
      <c r="C45" s="36" t="s">
        <v>0</v>
      </c>
      <c r="D45" s="169"/>
      <c r="E45" s="129">
        <f>0.1*0.15*6*B45</f>
        <v>0</v>
      </c>
      <c r="F45" s="63">
        <v>13500</v>
      </c>
      <c r="G45" s="438">
        <f t="shared" si="3"/>
        <v>0</v>
      </c>
      <c r="H45" s="121"/>
      <c r="I45" s="190"/>
      <c r="J45" s="190"/>
      <c r="K45" s="66"/>
      <c r="L45" s="17"/>
      <c r="M45" s="16"/>
    </row>
    <row r="46" spans="1:13" s="65" customFormat="1" x14ac:dyDescent="0.25">
      <c r="A46" s="127" t="s">
        <v>700</v>
      </c>
      <c r="B46" s="63"/>
      <c r="C46" s="62" t="s">
        <v>0</v>
      </c>
      <c r="D46" s="168"/>
      <c r="E46" s="129">
        <f>0.1*0.2*6*B46</f>
        <v>0</v>
      </c>
      <c r="F46" s="63">
        <v>13500</v>
      </c>
      <c r="G46" s="438">
        <f t="shared" si="3"/>
        <v>0</v>
      </c>
      <c r="H46" s="121"/>
      <c r="I46" s="190"/>
      <c r="J46" s="190"/>
      <c r="K46" s="66"/>
      <c r="L46" s="17"/>
      <c r="M46" s="16"/>
    </row>
    <row r="47" spans="1:13" s="65" customFormat="1" x14ac:dyDescent="0.25">
      <c r="A47" s="128" t="s">
        <v>701</v>
      </c>
      <c r="B47" s="36"/>
      <c r="C47" s="36" t="s">
        <v>0</v>
      </c>
      <c r="D47" s="169"/>
      <c r="E47" s="129">
        <f>0.15*0.15*6*B47</f>
        <v>0</v>
      </c>
      <c r="F47" s="63">
        <v>13500</v>
      </c>
      <c r="G47" s="438">
        <f t="shared" si="3"/>
        <v>0</v>
      </c>
      <c r="H47" s="121"/>
      <c r="I47" s="190"/>
      <c r="J47" s="190"/>
      <c r="K47" s="66"/>
      <c r="L47" s="17"/>
      <c r="M47" s="16"/>
    </row>
    <row r="48" spans="1:13" s="65" customFormat="1" x14ac:dyDescent="0.25">
      <c r="A48" s="127" t="s">
        <v>702</v>
      </c>
      <c r="B48" s="63"/>
      <c r="C48" s="62" t="s">
        <v>0</v>
      </c>
      <c r="D48" s="168"/>
      <c r="E48" s="129">
        <f>0.15*0.2*6*B48</f>
        <v>0</v>
      </c>
      <c r="F48" s="63">
        <v>13500</v>
      </c>
      <c r="G48" s="438">
        <f t="shared" si="3"/>
        <v>0</v>
      </c>
      <c r="H48" s="121"/>
      <c r="I48" s="190"/>
      <c r="J48" s="190"/>
      <c r="K48" s="66"/>
      <c r="L48" s="17"/>
      <c r="M48" s="16"/>
    </row>
    <row r="49" spans="1:13" s="65" customFormat="1" x14ac:dyDescent="0.25">
      <c r="A49" s="128" t="s">
        <v>703</v>
      </c>
      <c r="B49" s="36"/>
      <c r="C49" s="36" t="s">
        <v>0</v>
      </c>
      <c r="D49" s="169"/>
      <c r="E49" s="129">
        <f>0.2*0.2*6*B49</f>
        <v>0</v>
      </c>
      <c r="F49" s="63">
        <v>13500</v>
      </c>
      <c r="G49" s="438">
        <f t="shared" si="3"/>
        <v>0</v>
      </c>
      <c r="H49" s="121"/>
      <c r="I49" s="190"/>
      <c r="J49" s="190"/>
      <c r="K49" s="66"/>
      <c r="L49" s="17"/>
      <c r="M49" s="16"/>
    </row>
    <row r="50" spans="1:13" s="65" customFormat="1" x14ac:dyDescent="0.25">
      <c r="A50" s="127" t="s">
        <v>704</v>
      </c>
      <c r="B50" s="63"/>
      <c r="C50" s="62" t="s">
        <v>0</v>
      </c>
      <c r="D50" s="168"/>
      <c r="E50" s="129">
        <f>0.04*0.09*6*B50</f>
        <v>0</v>
      </c>
      <c r="F50" s="366">
        <v>16500</v>
      </c>
      <c r="G50" s="438">
        <f t="shared" si="3"/>
        <v>0</v>
      </c>
      <c r="H50" s="121"/>
      <c r="I50" s="190"/>
      <c r="J50" s="190"/>
      <c r="K50" s="66"/>
      <c r="L50" s="17"/>
      <c r="M50" s="16"/>
    </row>
    <row r="51" spans="1:13" s="65" customFormat="1" x14ac:dyDescent="0.25">
      <c r="A51" s="128" t="s">
        <v>1030</v>
      </c>
      <c r="B51" s="36"/>
      <c r="C51" s="36" t="s">
        <v>0</v>
      </c>
      <c r="D51" s="169"/>
      <c r="E51" s="129">
        <f>0.2*0.2*6*B51</f>
        <v>0</v>
      </c>
      <c r="F51" s="63">
        <v>19500</v>
      </c>
      <c r="G51" s="438">
        <f t="shared" ref="G51:G52" si="4">F51*E51</f>
        <v>0</v>
      </c>
      <c r="H51" s="493"/>
      <c r="I51" s="190"/>
      <c r="J51" s="190"/>
      <c r="K51" s="66"/>
      <c r="L51" s="17"/>
      <c r="M51" s="492"/>
    </row>
    <row r="52" spans="1:13" s="65" customFormat="1" ht="15.75" thickBot="1" x14ac:dyDescent="0.3">
      <c r="A52" s="127" t="s">
        <v>705</v>
      </c>
      <c r="B52" s="63"/>
      <c r="C52" s="62" t="s">
        <v>0</v>
      </c>
      <c r="D52" s="168"/>
      <c r="E52" s="129">
        <f>0.04*0.09*6*B52</f>
        <v>0</v>
      </c>
      <c r="F52" s="366">
        <v>22500</v>
      </c>
      <c r="G52" s="438">
        <f t="shared" si="4"/>
        <v>0</v>
      </c>
      <c r="H52" s="535" t="s">
        <v>982</v>
      </c>
      <c r="I52" s="536"/>
      <c r="J52" s="472"/>
      <c r="K52" s="66"/>
      <c r="L52" s="17"/>
      <c r="M52" s="16"/>
    </row>
    <row r="53" spans="1:13" s="65" customFormat="1" ht="15.75" thickBot="1" x14ac:dyDescent="0.3">
      <c r="A53" s="128" t="s">
        <v>1031</v>
      </c>
      <c r="B53" s="36"/>
      <c r="C53" s="36" t="s">
        <v>0</v>
      </c>
      <c r="D53" s="169"/>
      <c r="E53" s="129">
        <f>0.2*0.2*6*B53</f>
        <v>0</v>
      </c>
      <c r="F53" s="63">
        <v>25500</v>
      </c>
      <c r="G53" s="438">
        <f t="shared" ref="G53" si="5">F53*E53</f>
        <v>0</v>
      </c>
      <c r="H53" s="491"/>
      <c r="I53" s="491"/>
      <c r="J53" s="472"/>
      <c r="K53" s="66"/>
      <c r="L53" s="17"/>
      <c r="M53" s="492"/>
    </row>
    <row r="54" spans="1:13" s="65" customFormat="1" ht="15.75" thickBot="1" x14ac:dyDescent="0.3">
      <c r="A54" s="131" t="s">
        <v>706</v>
      </c>
      <c r="B54" s="141"/>
      <c r="C54" s="180" t="s">
        <v>0</v>
      </c>
      <c r="D54" s="179"/>
      <c r="E54" s="149">
        <f>0.04*0.19*6*B54</f>
        <v>0</v>
      </c>
      <c r="F54" s="398">
        <v>16500</v>
      </c>
      <c r="G54" s="440">
        <f t="shared" si="3"/>
        <v>0</v>
      </c>
      <c r="H54" s="385"/>
      <c r="I54" s="227" t="s">
        <v>7</v>
      </c>
      <c r="J54" s="473"/>
      <c r="K54" s="66"/>
      <c r="L54" s="17"/>
      <c r="M54" s="16"/>
    </row>
    <row r="55" spans="1:13" s="4" customFormat="1" ht="29.45" customHeight="1" thickBot="1" x14ac:dyDescent="0.3">
      <c r="A55" s="540" t="s">
        <v>568</v>
      </c>
      <c r="B55" s="541"/>
      <c r="C55" s="541"/>
      <c r="D55" s="541"/>
      <c r="E55" s="541"/>
      <c r="F55" s="541"/>
      <c r="G55" s="542"/>
      <c r="H55" s="184" t="s">
        <v>724</v>
      </c>
      <c r="I55" s="191" t="s">
        <v>742</v>
      </c>
      <c r="J55" s="474"/>
      <c r="K55" s="16"/>
      <c r="L55" s="16"/>
      <c r="M55" s="16"/>
    </row>
    <row r="56" spans="1:13" s="4" customFormat="1" x14ac:dyDescent="0.25">
      <c r="A56" s="102" t="s">
        <v>486</v>
      </c>
      <c r="B56" s="60"/>
      <c r="C56" s="60" t="s">
        <v>0</v>
      </c>
      <c r="D56" s="61"/>
      <c r="E56" s="38">
        <f>0.025*0.05*3*B56</f>
        <v>0</v>
      </c>
      <c r="F56" s="363">
        <v>11500</v>
      </c>
      <c r="G56" s="38">
        <f>E56*F56</f>
        <v>0</v>
      </c>
      <c r="H56" s="193" t="s">
        <v>743</v>
      </c>
      <c r="I56" s="195"/>
      <c r="J56" s="475"/>
      <c r="K56" s="16"/>
      <c r="L56" s="16"/>
      <c r="M56" s="16"/>
    </row>
    <row r="57" spans="1:13" ht="30" x14ac:dyDescent="0.25">
      <c r="A57" s="100" t="s">
        <v>487</v>
      </c>
      <c r="B57" s="2"/>
      <c r="C57" s="2" t="s">
        <v>0</v>
      </c>
      <c r="D57" s="39"/>
      <c r="E57" s="38">
        <f>0.025*0.1*6*B57</f>
        <v>0</v>
      </c>
      <c r="F57" s="364">
        <v>11500</v>
      </c>
      <c r="G57" s="38">
        <f>E57*F57</f>
        <v>0</v>
      </c>
      <c r="H57" s="194" t="s">
        <v>744</v>
      </c>
      <c r="I57" s="196"/>
      <c r="J57" s="475"/>
      <c r="K57" s="16"/>
      <c r="L57" s="16"/>
      <c r="M57" s="16"/>
    </row>
    <row r="58" spans="1:13" s="4" customFormat="1" ht="30" x14ac:dyDescent="0.25">
      <c r="A58" s="103" t="s">
        <v>488</v>
      </c>
      <c r="B58" s="90"/>
      <c r="C58" s="90" t="s">
        <v>0</v>
      </c>
      <c r="D58" s="91"/>
      <c r="E58" s="38">
        <f>0.025*0.1*6*B58</f>
        <v>0</v>
      </c>
      <c r="F58" s="364">
        <v>7125</v>
      </c>
      <c r="G58" s="38">
        <f t="shared" ref="G58:G71" si="6">E58*F58</f>
        <v>0</v>
      </c>
      <c r="H58" s="194" t="s">
        <v>745</v>
      </c>
      <c r="I58" s="196"/>
      <c r="J58" s="475"/>
      <c r="K58" s="16"/>
      <c r="L58" s="17"/>
      <c r="M58" s="16"/>
    </row>
    <row r="59" spans="1:13" s="65" customFormat="1" ht="30" x14ac:dyDescent="0.25">
      <c r="A59" s="107" t="s">
        <v>661</v>
      </c>
      <c r="B59" s="2"/>
      <c r="C59" s="2" t="s">
        <v>0</v>
      </c>
      <c r="D59" s="39"/>
      <c r="E59" s="38">
        <f>0.025*0.15*6*B59</f>
        <v>0</v>
      </c>
      <c r="F59" s="364">
        <v>11500</v>
      </c>
      <c r="G59" s="38">
        <f t="shared" si="6"/>
        <v>0</v>
      </c>
      <c r="H59" s="194" t="s">
        <v>746</v>
      </c>
      <c r="I59" s="196"/>
      <c r="J59" s="475"/>
      <c r="K59" s="16"/>
      <c r="L59" s="17"/>
      <c r="M59" s="16"/>
    </row>
    <row r="60" spans="1:13" s="4" customFormat="1" ht="30" x14ac:dyDescent="0.25">
      <c r="A60" s="150" t="s">
        <v>662</v>
      </c>
      <c r="B60" s="58"/>
      <c r="C60" s="58" t="s">
        <v>0</v>
      </c>
      <c r="D60" s="59"/>
      <c r="E60" s="38">
        <f>0.025*0.2*6*B60</f>
        <v>0</v>
      </c>
      <c r="F60" s="364">
        <v>11500</v>
      </c>
      <c r="G60" s="38">
        <f t="shared" si="6"/>
        <v>0</v>
      </c>
      <c r="H60" s="194" t="s">
        <v>747</v>
      </c>
      <c r="I60" s="196"/>
      <c r="J60" s="475"/>
      <c r="K60" s="16"/>
      <c r="L60" s="17"/>
      <c r="M60" s="16"/>
    </row>
    <row r="61" spans="1:13" s="4" customFormat="1" x14ac:dyDescent="0.25">
      <c r="A61" s="100" t="s">
        <v>489</v>
      </c>
      <c r="B61" s="2"/>
      <c r="C61" s="2" t="s">
        <v>0</v>
      </c>
      <c r="D61" s="39"/>
      <c r="E61" s="38">
        <f>0.04*0.05*3*B61</f>
        <v>0</v>
      </c>
      <c r="F61" s="364">
        <v>11500</v>
      </c>
      <c r="G61" s="38">
        <f t="shared" si="6"/>
        <v>0</v>
      </c>
      <c r="H61" s="194" t="s">
        <v>748</v>
      </c>
      <c r="I61" s="196"/>
      <c r="J61" s="475"/>
      <c r="K61" s="16"/>
      <c r="L61" s="17"/>
      <c r="M61" s="16"/>
    </row>
    <row r="62" spans="1:13" x14ac:dyDescent="0.25">
      <c r="A62" s="99" t="s">
        <v>490</v>
      </c>
      <c r="B62" s="58"/>
      <c r="C62" s="58" t="s">
        <v>0</v>
      </c>
      <c r="D62" s="59"/>
      <c r="E62" s="38">
        <f>0.05*0.05*3*B62</f>
        <v>0</v>
      </c>
      <c r="F62" s="364">
        <v>11500</v>
      </c>
      <c r="G62" s="38">
        <f t="shared" si="6"/>
        <v>0</v>
      </c>
      <c r="H62" s="194" t="s">
        <v>749</v>
      </c>
      <c r="I62" s="196"/>
      <c r="J62" s="475"/>
      <c r="K62" s="16"/>
      <c r="L62" s="17"/>
      <c r="M62" s="16"/>
    </row>
    <row r="63" spans="1:13" s="65" customFormat="1" x14ac:dyDescent="0.25">
      <c r="A63" s="100" t="s">
        <v>491</v>
      </c>
      <c r="B63" s="2"/>
      <c r="C63" s="2" t="s">
        <v>0</v>
      </c>
      <c r="D63" s="39"/>
      <c r="E63" s="38">
        <f>0.05*0.1*6*B63</f>
        <v>0</v>
      </c>
      <c r="F63" s="364">
        <v>11500</v>
      </c>
      <c r="G63" s="38">
        <f t="shared" si="6"/>
        <v>0</v>
      </c>
      <c r="H63" s="194" t="s">
        <v>750</v>
      </c>
      <c r="I63" s="196"/>
      <c r="J63" s="475"/>
      <c r="K63" s="16"/>
      <c r="L63" s="17"/>
      <c r="M63" s="16"/>
    </row>
    <row r="64" spans="1:13" x14ac:dyDescent="0.25">
      <c r="A64" s="99" t="s">
        <v>492</v>
      </c>
      <c r="B64" s="58"/>
      <c r="C64" s="58" t="s">
        <v>0</v>
      </c>
      <c r="D64" s="59"/>
      <c r="E64" s="38">
        <f>0.05*0.15*6*B64</f>
        <v>0</v>
      </c>
      <c r="F64" s="364">
        <v>11500</v>
      </c>
      <c r="G64" s="38">
        <f t="shared" si="6"/>
        <v>0</v>
      </c>
      <c r="H64" s="194" t="s">
        <v>751</v>
      </c>
      <c r="I64" s="196"/>
      <c r="J64" s="475"/>
      <c r="K64" s="16"/>
      <c r="L64" s="17"/>
      <c r="M64" s="16"/>
    </row>
    <row r="65" spans="1:13" s="65" customFormat="1" x14ac:dyDescent="0.25">
      <c r="A65" s="100" t="s">
        <v>493</v>
      </c>
      <c r="B65" s="2"/>
      <c r="C65" s="2" t="s">
        <v>0</v>
      </c>
      <c r="D65" s="39"/>
      <c r="E65" s="38">
        <f>0.05*0.2*6*B65</f>
        <v>0</v>
      </c>
      <c r="F65" s="364">
        <v>11500</v>
      </c>
      <c r="G65" s="38">
        <f t="shared" si="6"/>
        <v>0</v>
      </c>
      <c r="H65" s="194" t="s">
        <v>752</v>
      </c>
      <c r="I65" s="196"/>
      <c r="J65" s="475"/>
      <c r="K65" s="16"/>
      <c r="L65" s="17"/>
      <c r="M65" s="16"/>
    </row>
    <row r="66" spans="1:13" x14ac:dyDescent="0.25">
      <c r="A66" s="99" t="s">
        <v>494</v>
      </c>
      <c r="B66" s="58"/>
      <c r="C66" s="58" t="s">
        <v>0</v>
      </c>
      <c r="D66" s="59"/>
      <c r="E66" s="38">
        <f>0.1*0.1*6*B66</f>
        <v>0</v>
      </c>
      <c r="F66" s="364">
        <v>11500</v>
      </c>
      <c r="G66" s="38">
        <f t="shared" si="6"/>
        <v>0</v>
      </c>
      <c r="H66" s="194" t="s">
        <v>753</v>
      </c>
      <c r="I66" s="196"/>
      <c r="J66" s="475"/>
      <c r="K66" s="16"/>
      <c r="L66" s="17"/>
      <c r="M66" s="16"/>
    </row>
    <row r="67" spans="1:13" s="65" customFormat="1" x14ac:dyDescent="0.25">
      <c r="A67" s="100" t="s">
        <v>665</v>
      </c>
      <c r="B67" s="2"/>
      <c r="C67" s="2" t="s">
        <v>0</v>
      </c>
      <c r="D67" s="39"/>
      <c r="E67" s="38">
        <f>0.1*0.15*6*B67</f>
        <v>0</v>
      </c>
      <c r="F67" s="364">
        <v>11500</v>
      </c>
      <c r="G67" s="38">
        <f t="shared" si="6"/>
        <v>0</v>
      </c>
      <c r="H67" s="194" t="s">
        <v>754</v>
      </c>
      <c r="I67" s="196"/>
      <c r="J67" s="475"/>
      <c r="K67" s="16"/>
      <c r="L67" s="17"/>
      <c r="M67" s="16"/>
    </row>
    <row r="68" spans="1:13" x14ac:dyDescent="0.25">
      <c r="A68" s="99" t="s">
        <v>496</v>
      </c>
      <c r="B68" s="58"/>
      <c r="C68" s="58" t="s">
        <v>0</v>
      </c>
      <c r="D68" s="59"/>
      <c r="E68" s="38">
        <f>0.1*0.2*6*B68</f>
        <v>0</v>
      </c>
      <c r="F68" s="364">
        <v>11500</v>
      </c>
      <c r="G68" s="38">
        <f t="shared" si="6"/>
        <v>0</v>
      </c>
      <c r="H68" s="194" t="s">
        <v>755</v>
      </c>
      <c r="I68" s="196"/>
      <c r="J68" s="475"/>
      <c r="K68" s="16"/>
      <c r="L68" s="17"/>
      <c r="M68" s="16"/>
    </row>
    <row r="69" spans="1:13" s="65" customFormat="1" x14ac:dyDescent="0.25">
      <c r="A69" s="100" t="s">
        <v>495</v>
      </c>
      <c r="B69" s="2"/>
      <c r="C69" s="2" t="s">
        <v>0</v>
      </c>
      <c r="D69" s="39"/>
      <c r="E69" s="38">
        <f>0.15*0.15*6*B69</f>
        <v>0</v>
      </c>
      <c r="F69" s="364">
        <v>11500</v>
      </c>
      <c r="G69" s="38">
        <f t="shared" si="6"/>
        <v>0</v>
      </c>
      <c r="H69" s="194" t="s">
        <v>756</v>
      </c>
      <c r="I69" s="196"/>
      <c r="J69" s="475"/>
      <c r="K69" s="16"/>
      <c r="L69" s="17"/>
      <c r="M69" s="16"/>
    </row>
    <row r="70" spans="1:13" s="65" customFormat="1" x14ac:dyDescent="0.25">
      <c r="A70" s="99" t="s">
        <v>497</v>
      </c>
      <c r="B70" s="58"/>
      <c r="C70" s="58" t="s">
        <v>0</v>
      </c>
      <c r="D70" s="59"/>
      <c r="E70" s="38">
        <f>0.15*0.2*6*B70</f>
        <v>0</v>
      </c>
      <c r="F70" s="364">
        <v>11500</v>
      </c>
      <c r="G70" s="38">
        <f t="shared" si="6"/>
        <v>0</v>
      </c>
      <c r="H70" s="194" t="s">
        <v>757</v>
      </c>
      <c r="I70" s="196"/>
      <c r="J70" s="475"/>
    </row>
    <row r="71" spans="1:13" s="4" customFormat="1" ht="15.75" thickBot="1" x14ac:dyDescent="0.3">
      <c r="A71" s="101" t="s">
        <v>498</v>
      </c>
      <c r="B71" s="35"/>
      <c r="C71" s="35" t="s">
        <v>0</v>
      </c>
      <c r="D71" s="40"/>
      <c r="E71" s="38">
        <f>0.2*0.2*6*B71</f>
        <v>0</v>
      </c>
      <c r="F71" s="364">
        <v>11500</v>
      </c>
      <c r="G71" s="38">
        <f t="shared" si="6"/>
        <v>0</v>
      </c>
      <c r="H71" s="194" t="s">
        <v>758</v>
      </c>
      <c r="I71" s="196"/>
      <c r="J71" s="475"/>
    </row>
    <row r="72" spans="1:13" s="4" customFormat="1" ht="15.75" thickBot="1" x14ac:dyDescent="0.3">
      <c r="A72" s="540" t="s">
        <v>569</v>
      </c>
      <c r="B72" s="541"/>
      <c r="C72" s="541"/>
      <c r="D72" s="541"/>
      <c r="E72" s="541"/>
      <c r="F72" s="541"/>
      <c r="G72" s="542"/>
      <c r="H72" s="194" t="s">
        <v>759</v>
      </c>
      <c r="I72" s="196"/>
      <c r="J72" s="475"/>
      <c r="K72" s="16"/>
      <c r="L72" s="16"/>
      <c r="M72" s="16"/>
    </row>
    <row r="73" spans="1:13" s="4" customFormat="1" x14ac:dyDescent="0.25">
      <c r="A73" s="102" t="s">
        <v>571</v>
      </c>
      <c r="B73" s="60"/>
      <c r="C73" s="60" t="s">
        <v>0</v>
      </c>
      <c r="D73" s="61"/>
      <c r="E73" s="38">
        <f>0.025*0.05*3*B73</f>
        <v>0</v>
      </c>
      <c r="F73" s="364">
        <v>13500</v>
      </c>
      <c r="G73" s="38">
        <f>E73*F73</f>
        <v>0</v>
      </c>
      <c r="H73" s="194" t="s">
        <v>760</v>
      </c>
      <c r="I73" s="196"/>
      <c r="J73" s="475"/>
      <c r="K73" s="16"/>
      <c r="L73" s="16"/>
      <c r="M73" s="16"/>
    </row>
    <row r="74" spans="1:13" s="4" customFormat="1" x14ac:dyDescent="0.25">
      <c r="A74" s="100" t="s">
        <v>572</v>
      </c>
      <c r="B74" s="2"/>
      <c r="C74" s="2" t="s">
        <v>0</v>
      </c>
      <c r="D74" s="39"/>
      <c r="E74" s="38">
        <f>0.025*0.1*6*B74</f>
        <v>0</v>
      </c>
      <c r="F74" s="364">
        <v>13500</v>
      </c>
      <c r="G74" s="38">
        <f>E74*F74</f>
        <v>0</v>
      </c>
      <c r="H74" s="194" t="s">
        <v>771</v>
      </c>
      <c r="I74" s="196"/>
      <c r="J74" s="475"/>
      <c r="K74" s="16"/>
      <c r="L74" s="16"/>
      <c r="M74" s="16"/>
    </row>
    <row r="75" spans="1:13" s="4" customFormat="1" x14ac:dyDescent="0.25">
      <c r="A75" s="103" t="s">
        <v>666</v>
      </c>
      <c r="B75" s="90"/>
      <c r="C75" s="90" t="s">
        <v>0</v>
      </c>
      <c r="D75" s="91"/>
      <c r="E75" s="38">
        <f>0.025*0.1*6*B75</f>
        <v>0</v>
      </c>
      <c r="F75" s="364">
        <v>9125</v>
      </c>
      <c r="G75" s="38">
        <f t="shared" ref="G75:G88" si="7">E75*F75</f>
        <v>0</v>
      </c>
      <c r="H75" s="194" t="s">
        <v>772</v>
      </c>
      <c r="I75" s="196"/>
      <c r="J75" s="475"/>
      <c r="K75" s="16"/>
      <c r="L75" s="17"/>
      <c r="M75" s="16"/>
    </row>
    <row r="76" spans="1:13" s="65" customFormat="1" x14ac:dyDescent="0.25">
      <c r="A76" s="107" t="s">
        <v>663</v>
      </c>
      <c r="B76" s="2"/>
      <c r="C76" s="2" t="s">
        <v>0</v>
      </c>
      <c r="D76" s="39"/>
      <c r="E76" s="38">
        <f>0.025*0.15*6*B76</f>
        <v>0</v>
      </c>
      <c r="F76" s="364">
        <v>13500</v>
      </c>
      <c r="G76" s="38">
        <f t="shared" si="7"/>
        <v>0</v>
      </c>
      <c r="H76" s="194" t="s">
        <v>773</v>
      </c>
      <c r="I76" s="196"/>
      <c r="J76" s="475"/>
      <c r="K76" s="16"/>
      <c r="L76" s="17"/>
      <c r="M76" s="16"/>
    </row>
    <row r="77" spans="1:13" s="4" customFormat="1" x14ac:dyDescent="0.25">
      <c r="A77" s="150" t="s">
        <v>664</v>
      </c>
      <c r="B77" s="58"/>
      <c r="C77" s="58" t="s">
        <v>0</v>
      </c>
      <c r="D77" s="59"/>
      <c r="E77" s="38">
        <f>0.025*0.2*6*B77</f>
        <v>0</v>
      </c>
      <c r="F77" s="364">
        <v>13500</v>
      </c>
      <c r="G77" s="38">
        <f t="shared" si="7"/>
        <v>0</v>
      </c>
      <c r="H77" s="194" t="s">
        <v>819</v>
      </c>
      <c r="I77" s="196"/>
      <c r="J77" s="475"/>
      <c r="K77" s="16"/>
      <c r="L77" s="17"/>
      <c r="M77" s="16"/>
    </row>
    <row r="78" spans="1:13" s="4" customFormat="1" ht="15.75" thickBot="1" x14ac:dyDescent="0.3">
      <c r="A78" s="100" t="s">
        <v>573</v>
      </c>
      <c r="B78" s="2"/>
      <c r="C78" s="2" t="s">
        <v>0</v>
      </c>
      <c r="D78" s="39"/>
      <c r="E78" s="38">
        <f>0.04*0.05*3*B78</f>
        <v>0</v>
      </c>
      <c r="F78" s="364">
        <v>13500</v>
      </c>
      <c r="G78" s="38">
        <f t="shared" si="7"/>
        <v>0</v>
      </c>
      <c r="H78" s="197" t="s">
        <v>819</v>
      </c>
      <c r="I78" s="198"/>
      <c r="J78" s="475"/>
      <c r="K78" s="16"/>
      <c r="L78" s="17"/>
      <c r="M78" s="16"/>
    </row>
    <row r="79" spans="1:13" s="4" customFormat="1" ht="30.75" thickBot="1" x14ac:dyDescent="0.3">
      <c r="A79" s="99" t="s">
        <v>574</v>
      </c>
      <c r="B79" s="58"/>
      <c r="C79" s="58" t="s">
        <v>0</v>
      </c>
      <c r="D79" s="59"/>
      <c r="E79" s="38">
        <f>0.05*0.05*3*B79</f>
        <v>0</v>
      </c>
      <c r="F79" s="364">
        <v>13500</v>
      </c>
      <c r="G79" s="38">
        <f t="shared" si="7"/>
        <v>0</v>
      </c>
      <c r="H79" s="201" t="s">
        <v>853</v>
      </c>
      <c r="I79" s="201" t="s">
        <v>717</v>
      </c>
      <c r="J79" s="474"/>
      <c r="K79" s="16"/>
      <c r="L79" s="17"/>
      <c r="M79" s="16"/>
    </row>
    <row r="80" spans="1:13" s="65" customFormat="1" x14ac:dyDescent="0.25">
      <c r="A80" s="100" t="s">
        <v>575</v>
      </c>
      <c r="B80" s="2"/>
      <c r="C80" s="2" t="s">
        <v>0</v>
      </c>
      <c r="D80" s="39"/>
      <c r="E80" s="38">
        <f>0.05*0.1*6*B80</f>
        <v>0</v>
      </c>
      <c r="F80" s="364">
        <v>13500</v>
      </c>
      <c r="G80" s="38">
        <f t="shared" si="7"/>
        <v>0</v>
      </c>
      <c r="H80" s="203" t="s">
        <v>795</v>
      </c>
      <c r="I80" s="203"/>
      <c r="J80" s="476"/>
      <c r="K80" s="16"/>
      <c r="L80" s="17"/>
      <c r="M80" s="16"/>
    </row>
    <row r="81" spans="1:13" s="4" customFormat="1" x14ac:dyDescent="0.25">
      <c r="A81" s="99" t="s">
        <v>576</v>
      </c>
      <c r="B81" s="58"/>
      <c r="C81" s="58" t="s">
        <v>0</v>
      </c>
      <c r="D81" s="59"/>
      <c r="E81" s="38">
        <f>0.05*0.15*6*B81</f>
        <v>0</v>
      </c>
      <c r="F81" s="364">
        <v>13500</v>
      </c>
      <c r="G81" s="38">
        <f t="shared" si="7"/>
        <v>0</v>
      </c>
      <c r="H81" s="199" t="s">
        <v>796</v>
      </c>
      <c r="I81" s="199"/>
      <c r="J81" s="476"/>
      <c r="K81" s="16"/>
      <c r="L81" s="17"/>
      <c r="M81" s="16"/>
    </row>
    <row r="82" spans="1:13" s="65" customFormat="1" x14ac:dyDescent="0.25">
      <c r="A82" s="100" t="s">
        <v>577</v>
      </c>
      <c r="B82" s="2"/>
      <c r="C82" s="2" t="s">
        <v>0</v>
      </c>
      <c r="D82" s="39"/>
      <c r="E82" s="38">
        <f>0.05*0.2*6*B82</f>
        <v>0</v>
      </c>
      <c r="F82" s="364">
        <v>13500</v>
      </c>
      <c r="G82" s="38">
        <f t="shared" si="7"/>
        <v>0</v>
      </c>
      <c r="H82" s="199" t="s">
        <v>799</v>
      </c>
      <c r="I82" s="199"/>
      <c r="J82" s="476"/>
      <c r="K82" s="16"/>
      <c r="L82" s="17"/>
      <c r="M82" s="16"/>
    </row>
    <row r="83" spans="1:13" s="4" customFormat="1" x14ac:dyDescent="0.25">
      <c r="A83" s="99" t="s">
        <v>667</v>
      </c>
      <c r="B83" s="58"/>
      <c r="C83" s="58" t="s">
        <v>0</v>
      </c>
      <c r="D83" s="59"/>
      <c r="E83" s="38">
        <f>0.1*0.1*6*B83</f>
        <v>0</v>
      </c>
      <c r="F83" s="364">
        <v>13500</v>
      </c>
      <c r="G83" s="38">
        <f t="shared" si="7"/>
        <v>0</v>
      </c>
      <c r="H83" s="199" t="s">
        <v>797</v>
      </c>
      <c r="I83" s="199"/>
      <c r="J83" s="476"/>
      <c r="K83" s="16"/>
      <c r="L83" s="17"/>
      <c r="M83" s="16"/>
    </row>
    <row r="84" spans="1:13" s="65" customFormat="1" x14ac:dyDescent="0.25">
      <c r="A84" s="100" t="s">
        <v>668</v>
      </c>
      <c r="B84" s="2"/>
      <c r="C84" s="2" t="s">
        <v>0</v>
      </c>
      <c r="D84" s="39"/>
      <c r="E84" s="38">
        <f>0.1*0.15*6*B84</f>
        <v>0</v>
      </c>
      <c r="F84" s="364">
        <v>13500</v>
      </c>
      <c r="G84" s="38">
        <f t="shared" si="7"/>
        <v>0</v>
      </c>
      <c r="H84" s="199" t="s">
        <v>798</v>
      </c>
      <c r="I84" s="199"/>
      <c r="J84" s="476"/>
      <c r="K84" s="16"/>
      <c r="L84" s="17"/>
      <c r="M84" s="16"/>
    </row>
    <row r="85" spans="1:13" s="4" customFormat="1" x14ac:dyDescent="0.25">
      <c r="A85" s="99" t="s">
        <v>579</v>
      </c>
      <c r="B85" s="58"/>
      <c r="C85" s="58" t="s">
        <v>0</v>
      </c>
      <c r="D85" s="59"/>
      <c r="E85" s="38">
        <f>0.1*0.2*6*B85</f>
        <v>0</v>
      </c>
      <c r="F85" s="364">
        <v>13500</v>
      </c>
      <c r="G85" s="38">
        <f t="shared" si="7"/>
        <v>0</v>
      </c>
      <c r="H85" s="199" t="s">
        <v>854</v>
      </c>
      <c r="I85" s="199"/>
      <c r="J85" s="476"/>
      <c r="K85" s="16"/>
      <c r="L85" s="17"/>
      <c r="M85" s="16"/>
    </row>
    <row r="86" spans="1:13" s="4" customFormat="1" ht="15.75" thickBot="1" x14ac:dyDescent="0.3">
      <c r="A86" s="100" t="s">
        <v>578</v>
      </c>
      <c r="B86" s="2"/>
      <c r="C86" s="2" t="s">
        <v>0</v>
      </c>
      <c r="D86" s="39"/>
      <c r="E86" s="38">
        <f>0.15*0.15*6*B86</f>
        <v>0</v>
      </c>
      <c r="F86" s="364">
        <v>13500</v>
      </c>
      <c r="G86" s="38">
        <f t="shared" si="7"/>
        <v>0</v>
      </c>
      <c r="H86" s="200" t="s">
        <v>819</v>
      </c>
      <c r="I86" s="200"/>
      <c r="J86" s="476"/>
      <c r="K86" s="16"/>
      <c r="L86" s="17"/>
      <c r="M86" s="16"/>
    </row>
    <row r="87" spans="1:13" s="65" customFormat="1" ht="15.75" thickBot="1" x14ac:dyDescent="0.3">
      <c r="A87" s="99" t="s">
        <v>580</v>
      </c>
      <c r="B87" s="58"/>
      <c r="C87" s="58" t="s">
        <v>0</v>
      </c>
      <c r="D87" s="59"/>
      <c r="E87" s="38">
        <f>0.15*0.2*6*B87</f>
        <v>0</v>
      </c>
      <c r="F87" s="364">
        <v>13500</v>
      </c>
      <c r="G87" s="38">
        <f t="shared" si="7"/>
        <v>0</v>
      </c>
      <c r="H87" s="204" t="s">
        <v>810</v>
      </c>
      <c r="I87" s="205" t="s">
        <v>717</v>
      </c>
      <c r="J87" s="475"/>
    </row>
    <row r="88" spans="1:13" s="4" customFormat="1" ht="15.75" thickBot="1" x14ac:dyDescent="0.3">
      <c r="A88" s="101" t="s">
        <v>581</v>
      </c>
      <c r="B88" s="35"/>
      <c r="C88" s="35" t="s">
        <v>0</v>
      </c>
      <c r="D88" s="40"/>
      <c r="E88" s="38">
        <f>0.2*0.2*6*B88</f>
        <v>0</v>
      </c>
      <c r="F88" s="364">
        <v>13500</v>
      </c>
      <c r="G88" s="38">
        <f t="shared" si="7"/>
        <v>0</v>
      </c>
      <c r="H88" s="203" t="s">
        <v>811</v>
      </c>
      <c r="I88" s="202"/>
      <c r="J88" s="476"/>
    </row>
    <row r="89" spans="1:13" s="4" customFormat="1" ht="15.75" thickBot="1" x14ac:dyDescent="0.3">
      <c r="A89" s="540" t="s">
        <v>570</v>
      </c>
      <c r="B89" s="541"/>
      <c r="C89" s="541"/>
      <c r="D89" s="541"/>
      <c r="E89" s="541"/>
      <c r="F89" s="541"/>
      <c r="G89" s="541"/>
      <c r="H89" s="199" t="s">
        <v>812</v>
      </c>
      <c r="I89" s="199"/>
      <c r="J89" s="476"/>
      <c r="K89" s="16"/>
      <c r="L89" s="16"/>
      <c r="M89" s="16"/>
    </row>
    <row r="90" spans="1:13" s="4" customFormat="1" x14ac:dyDescent="0.25">
      <c r="A90" s="102" t="s">
        <v>582</v>
      </c>
      <c r="B90" s="60"/>
      <c r="C90" s="60" t="s">
        <v>0</v>
      </c>
      <c r="D90" s="61"/>
      <c r="E90" s="38">
        <f>0.02*0.04*3*B90</f>
        <v>0</v>
      </c>
      <c r="F90" s="364">
        <v>16500</v>
      </c>
      <c r="G90" s="38">
        <f>E90*F90</f>
        <v>0</v>
      </c>
      <c r="H90" s="199" t="s">
        <v>813</v>
      </c>
      <c r="I90" s="199"/>
      <c r="J90" s="476"/>
      <c r="K90" s="16"/>
      <c r="L90" s="16"/>
      <c r="M90" s="16"/>
    </row>
    <row r="91" spans="1:13" s="4" customFormat="1" x14ac:dyDescent="0.25">
      <c r="A91" s="100" t="s">
        <v>583</v>
      </c>
      <c r="B91" s="2">
        <v>120</v>
      </c>
      <c r="C91" s="2" t="s">
        <v>0</v>
      </c>
      <c r="D91" s="39"/>
      <c r="E91" s="38">
        <f>0.02*0.09*6*B91</f>
        <v>1.296</v>
      </c>
      <c r="F91" s="364">
        <v>16500</v>
      </c>
      <c r="G91" s="38">
        <f>E91*F91</f>
        <v>21384</v>
      </c>
      <c r="H91" s="199" t="s">
        <v>855</v>
      </c>
      <c r="I91" s="199"/>
      <c r="J91" s="476"/>
      <c r="K91" s="16"/>
      <c r="L91" s="16"/>
      <c r="M91" s="16"/>
    </row>
    <row r="92" spans="1:13" s="4" customFormat="1" x14ac:dyDescent="0.25">
      <c r="A92" s="103" t="s">
        <v>666</v>
      </c>
      <c r="B92" s="90"/>
      <c r="C92" s="90" t="s">
        <v>0</v>
      </c>
      <c r="D92" s="91"/>
      <c r="E92" s="38">
        <f>0.02*0.09*6*B92</f>
        <v>0</v>
      </c>
      <c r="F92" s="364">
        <v>11125</v>
      </c>
      <c r="G92" s="38">
        <f t="shared" ref="G92:G99" si="8">E92*F92</f>
        <v>0</v>
      </c>
      <c r="H92" s="199" t="s">
        <v>856</v>
      </c>
      <c r="I92" s="199"/>
      <c r="J92" s="476"/>
      <c r="K92" s="16"/>
      <c r="L92" s="17"/>
      <c r="M92" s="16"/>
    </row>
    <row r="93" spans="1:13" s="4" customFormat="1" x14ac:dyDescent="0.25">
      <c r="A93" s="100" t="s">
        <v>584</v>
      </c>
      <c r="B93" s="2">
        <v>198</v>
      </c>
      <c r="C93" s="2" t="s">
        <v>0</v>
      </c>
      <c r="D93" s="39"/>
      <c r="E93" s="38">
        <f>0.04*0.05*3*B93</f>
        <v>1.1879999999999999</v>
      </c>
      <c r="F93" s="364">
        <v>16500</v>
      </c>
      <c r="G93" s="38">
        <f t="shared" si="8"/>
        <v>19602</v>
      </c>
      <c r="H93" s="199" t="s">
        <v>857</v>
      </c>
      <c r="I93" s="199"/>
      <c r="J93" s="476"/>
      <c r="K93" s="16"/>
      <c r="L93" s="17"/>
      <c r="M93" s="16"/>
    </row>
    <row r="94" spans="1:13" s="4" customFormat="1" x14ac:dyDescent="0.25">
      <c r="A94" s="100" t="s">
        <v>1032</v>
      </c>
      <c r="B94" s="2"/>
      <c r="C94" s="2" t="s">
        <v>0</v>
      </c>
      <c r="D94" s="39"/>
      <c r="E94" s="38">
        <f>0.04*0.05*3*B94</f>
        <v>0</v>
      </c>
      <c r="F94" s="364">
        <v>16501</v>
      </c>
      <c r="G94" s="38">
        <f t="shared" ref="G94" si="9">E94*F94</f>
        <v>0</v>
      </c>
      <c r="H94" s="199"/>
      <c r="I94" s="199"/>
      <c r="J94" s="476"/>
      <c r="K94" s="492"/>
      <c r="L94" s="17"/>
      <c r="M94" s="492"/>
    </row>
    <row r="95" spans="1:13" s="4" customFormat="1" x14ac:dyDescent="0.25">
      <c r="A95" s="99" t="s">
        <v>1039</v>
      </c>
      <c r="B95" s="58">
        <v>25</v>
      </c>
      <c r="C95" s="58" t="s">
        <v>0</v>
      </c>
      <c r="D95" s="59"/>
      <c r="E95" s="38">
        <f>0.04*0.09*6*B95</f>
        <v>0.54</v>
      </c>
      <c r="F95" s="364">
        <v>16500</v>
      </c>
      <c r="G95" s="38">
        <f t="shared" si="8"/>
        <v>8910</v>
      </c>
      <c r="H95" s="199" t="s">
        <v>858</v>
      </c>
      <c r="I95" s="199"/>
      <c r="J95" s="476"/>
      <c r="K95" s="16"/>
      <c r="L95" s="17"/>
      <c r="M95" s="16"/>
    </row>
    <row r="96" spans="1:13" s="4" customFormat="1" x14ac:dyDescent="0.25">
      <c r="A96" s="101" t="s">
        <v>1033</v>
      </c>
      <c r="B96" s="35"/>
      <c r="C96" s="35" t="s">
        <v>0</v>
      </c>
      <c r="D96" s="40"/>
      <c r="E96" s="38">
        <f t="shared" ref="E96:E98" si="10">0.04*0.09*6*B96</f>
        <v>0</v>
      </c>
      <c r="F96" s="364">
        <v>16501</v>
      </c>
      <c r="G96" s="38">
        <f t="shared" ref="G96:G98" si="11">E96*F96</f>
        <v>0</v>
      </c>
      <c r="H96" s="199"/>
      <c r="I96" s="199"/>
      <c r="J96" s="476"/>
      <c r="K96" s="492"/>
      <c r="L96" s="17"/>
      <c r="M96" s="492"/>
    </row>
    <row r="97" spans="1:13" s="65" customFormat="1" x14ac:dyDescent="0.25">
      <c r="A97" s="97" t="s">
        <v>1038</v>
      </c>
      <c r="B97" s="56">
        <v>33</v>
      </c>
      <c r="C97" s="56" t="s">
        <v>0</v>
      </c>
      <c r="D97" s="57"/>
      <c r="E97" s="38">
        <f t="shared" si="10"/>
        <v>0.71279999999999999</v>
      </c>
      <c r="F97" s="364">
        <v>16502</v>
      </c>
      <c r="G97" s="38">
        <f t="shared" si="11"/>
        <v>11762.625599999999</v>
      </c>
      <c r="H97" s="199" t="s">
        <v>859</v>
      </c>
      <c r="I97" s="199"/>
      <c r="J97" s="476"/>
      <c r="K97" s="16"/>
      <c r="L97" s="17"/>
      <c r="M97" s="16"/>
    </row>
    <row r="98" spans="1:13" s="65" customFormat="1" x14ac:dyDescent="0.25">
      <c r="A98" s="101" t="s">
        <v>1034</v>
      </c>
      <c r="B98" s="35"/>
      <c r="C98" s="35" t="s">
        <v>0</v>
      </c>
      <c r="D98" s="40"/>
      <c r="E98" s="38">
        <f t="shared" si="10"/>
        <v>0</v>
      </c>
      <c r="F98" s="364">
        <v>16503</v>
      </c>
      <c r="G98" s="38">
        <f t="shared" si="11"/>
        <v>0</v>
      </c>
      <c r="H98" s="199"/>
      <c r="I98" s="199"/>
      <c r="J98" s="476"/>
      <c r="K98" s="492"/>
      <c r="L98" s="17"/>
      <c r="M98" s="492"/>
    </row>
    <row r="99" spans="1:13" s="4" customFormat="1" ht="15.75" thickBot="1" x14ac:dyDescent="0.3">
      <c r="A99" s="97" t="s">
        <v>1037</v>
      </c>
      <c r="B99" s="56"/>
      <c r="C99" s="56" t="s">
        <v>0</v>
      </c>
      <c r="D99" s="57"/>
      <c r="E99" s="38">
        <f>0.04*0.19*6*B99</f>
        <v>0</v>
      </c>
      <c r="F99" s="364">
        <v>16500</v>
      </c>
      <c r="G99" s="38">
        <f t="shared" si="8"/>
        <v>0</v>
      </c>
      <c r="H99" s="199" t="s">
        <v>819</v>
      </c>
      <c r="I99" s="199"/>
      <c r="J99" s="476"/>
      <c r="K99" s="16"/>
      <c r="L99" s="17"/>
      <c r="M99" s="16"/>
    </row>
    <row r="100" spans="1:13" s="4" customFormat="1" ht="15.75" thickBot="1" x14ac:dyDescent="0.3">
      <c r="A100" s="548" t="s">
        <v>593</v>
      </c>
      <c r="B100" s="549"/>
      <c r="C100" s="549"/>
      <c r="D100" s="549"/>
      <c r="E100" s="549"/>
      <c r="F100" s="549"/>
      <c r="G100" s="550"/>
      <c r="H100" s="200" t="s">
        <v>819</v>
      </c>
      <c r="I100" s="200"/>
      <c r="J100" s="476"/>
    </row>
    <row r="101" spans="1:13" s="4" customFormat="1" ht="15.75" thickBot="1" x14ac:dyDescent="0.3">
      <c r="A101" s="155" t="s">
        <v>634</v>
      </c>
      <c r="B101" s="123"/>
      <c r="C101" s="123" t="s">
        <v>0</v>
      </c>
      <c r="D101" s="123"/>
      <c r="E101" s="123">
        <f>0.195*0.145*6*B101</f>
        <v>0</v>
      </c>
      <c r="F101" s="395">
        <v>14125</v>
      </c>
      <c r="G101" s="126">
        <f>E101*F101</f>
        <v>0</v>
      </c>
      <c r="H101" s="212" t="s">
        <v>817</v>
      </c>
      <c r="I101" s="217" t="s">
        <v>717</v>
      </c>
      <c r="J101" s="477"/>
    </row>
    <row r="102" spans="1:13" s="4" customFormat="1" x14ac:dyDescent="0.25">
      <c r="A102" s="156" t="s">
        <v>633</v>
      </c>
      <c r="B102" s="58"/>
      <c r="C102" s="58" t="s">
        <v>0</v>
      </c>
      <c r="D102" s="58"/>
      <c r="E102" s="2">
        <f>0.145*0.145*6*B102</f>
        <v>0</v>
      </c>
      <c r="F102" s="364">
        <v>14125</v>
      </c>
      <c r="G102" s="438">
        <f>E102*F102</f>
        <v>0</v>
      </c>
      <c r="H102" s="195" t="s">
        <v>871</v>
      </c>
      <c r="I102" s="218"/>
      <c r="J102" s="475"/>
    </row>
    <row r="103" spans="1:13" s="4" customFormat="1" x14ac:dyDescent="0.25">
      <c r="A103" s="147" t="s">
        <v>635</v>
      </c>
      <c r="B103" s="2"/>
      <c r="C103" s="2" t="s">
        <v>0</v>
      </c>
      <c r="D103" s="2"/>
      <c r="E103" s="2">
        <f>0.095*0.145*6*B103</f>
        <v>0</v>
      </c>
      <c r="F103" s="364">
        <v>14125</v>
      </c>
      <c r="G103" s="438">
        <f t="shared" ref="G103:G106" si="12">E103*F103</f>
        <v>0</v>
      </c>
      <c r="H103" s="196" t="s">
        <v>892</v>
      </c>
      <c r="I103" s="219"/>
      <c r="J103" s="475"/>
    </row>
    <row r="104" spans="1:13" s="4" customFormat="1" x14ac:dyDescent="0.25">
      <c r="A104" s="157" t="s">
        <v>597</v>
      </c>
      <c r="B104" s="60"/>
      <c r="C104" s="60" t="s">
        <v>0</v>
      </c>
      <c r="D104" s="61"/>
      <c r="E104" s="2">
        <f>0.195*0.145*6*B104</f>
        <v>0</v>
      </c>
      <c r="F104" s="364">
        <v>17875</v>
      </c>
      <c r="G104" s="438">
        <f t="shared" si="12"/>
        <v>0</v>
      </c>
      <c r="H104" s="196" t="s">
        <v>872</v>
      </c>
      <c r="I104" s="219"/>
      <c r="J104" s="475"/>
    </row>
    <row r="105" spans="1:13" s="4" customFormat="1" x14ac:dyDescent="0.25">
      <c r="A105" s="128" t="s">
        <v>596</v>
      </c>
      <c r="B105" s="2"/>
      <c r="C105" s="2" t="s">
        <v>0</v>
      </c>
      <c r="D105" s="39"/>
      <c r="E105" s="2">
        <f>0.145*0.145*6*B105</f>
        <v>0</v>
      </c>
      <c r="F105" s="364">
        <v>17875</v>
      </c>
      <c r="G105" s="438">
        <f t="shared" si="12"/>
        <v>0</v>
      </c>
      <c r="H105" s="196" t="s">
        <v>873</v>
      </c>
      <c r="I105" s="219"/>
      <c r="J105" s="475"/>
    </row>
    <row r="106" spans="1:13" s="4" customFormat="1" ht="15.75" thickBot="1" x14ac:dyDescent="0.3">
      <c r="A106" s="162" t="s">
        <v>595</v>
      </c>
      <c r="B106" s="56"/>
      <c r="C106" s="56" t="s">
        <v>0</v>
      </c>
      <c r="D106" s="57"/>
      <c r="E106" s="35">
        <f>0.095*0.145*6*B106</f>
        <v>0</v>
      </c>
      <c r="F106" s="376">
        <v>17875</v>
      </c>
      <c r="G106" s="439">
        <f t="shared" si="12"/>
        <v>0</v>
      </c>
      <c r="H106" s="196" t="s">
        <v>874</v>
      </c>
      <c r="I106" s="219"/>
      <c r="J106" s="475"/>
    </row>
    <row r="107" spans="1:13" s="4" customFormat="1" ht="15.75" thickBot="1" x14ac:dyDescent="0.3">
      <c r="A107" s="540" t="s">
        <v>592</v>
      </c>
      <c r="B107" s="541"/>
      <c r="C107" s="541"/>
      <c r="D107" s="541"/>
      <c r="E107" s="541"/>
      <c r="F107" s="541"/>
      <c r="G107" s="542"/>
      <c r="H107" s="196" t="s">
        <v>874</v>
      </c>
      <c r="I107" s="219"/>
      <c r="J107" s="475"/>
    </row>
    <row r="108" spans="1:13" s="4" customFormat="1" x14ac:dyDescent="0.25">
      <c r="A108" s="102" t="s">
        <v>594</v>
      </c>
      <c r="B108" s="60"/>
      <c r="C108" s="60" t="s">
        <v>1</v>
      </c>
      <c r="D108" s="61"/>
      <c r="E108" s="61"/>
      <c r="F108" s="364">
        <v>17750</v>
      </c>
      <c r="G108" s="38">
        <f>F108*B108</f>
        <v>0</v>
      </c>
      <c r="H108" s="196" t="s">
        <v>874</v>
      </c>
      <c r="I108" s="219"/>
      <c r="J108" s="475"/>
    </row>
    <row r="109" spans="1:13" s="4" customFormat="1" x14ac:dyDescent="0.25">
      <c r="A109" s="100" t="s">
        <v>591</v>
      </c>
      <c r="B109" s="2"/>
      <c r="C109" s="2" t="s">
        <v>1</v>
      </c>
      <c r="D109" s="39"/>
      <c r="E109" s="39"/>
      <c r="F109" s="364">
        <v>17750</v>
      </c>
      <c r="G109" s="38">
        <f t="shared" ref="G109:G116" si="13">F109*B109</f>
        <v>0</v>
      </c>
      <c r="H109" s="196" t="s">
        <v>874</v>
      </c>
      <c r="I109" s="219"/>
      <c r="J109" s="475"/>
    </row>
    <row r="110" spans="1:13" s="4" customFormat="1" ht="15.75" thickBot="1" x14ac:dyDescent="0.3">
      <c r="A110" s="99" t="s">
        <v>598</v>
      </c>
      <c r="B110" s="58"/>
      <c r="C110" s="58" t="s">
        <v>1</v>
      </c>
      <c r="D110" s="59"/>
      <c r="E110" s="59"/>
      <c r="F110" s="364">
        <v>17750</v>
      </c>
      <c r="G110" s="38">
        <f t="shared" si="13"/>
        <v>0</v>
      </c>
      <c r="H110" s="196" t="s">
        <v>874</v>
      </c>
      <c r="I110" s="220"/>
      <c r="J110" s="475"/>
    </row>
    <row r="111" spans="1:13" s="65" customFormat="1" ht="15.75" thickBot="1" x14ac:dyDescent="0.3">
      <c r="A111" s="100" t="s">
        <v>585</v>
      </c>
      <c r="B111" s="2"/>
      <c r="C111" s="2" t="s">
        <v>1</v>
      </c>
      <c r="D111" s="39"/>
      <c r="E111" s="39"/>
      <c r="F111" s="364">
        <v>11000</v>
      </c>
      <c r="G111" s="38">
        <f t="shared" si="13"/>
        <v>0</v>
      </c>
      <c r="H111" s="215" t="s">
        <v>818</v>
      </c>
      <c r="I111" s="221" t="s">
        <v>717</v>
      </c>
      <c r="J111" s="478"/>
    </row>
    <row r="112" spans="1:13" s="4" customFormat="1" x14ac:dyDescent="0.25">
      <c r="A112" s="99" t="s">
        <v>586</v>
      </c>
      <c r="B112" s="58"/>
      <c r="C112" s="58" t="s">
        <v>1</v>
      </c>
      <c r="D112" s="59"/>
      <c r="E112" s="59"/>
      <c r="F112" s="364">
        <v>11000</v>
      </c>
      <c r="G112" s="38">
        <f t="shared" si="13"/>
        <v>0</v>
      </c>
      <c r="H112" s="203" t="s">
        <v>863</v>
      </c>
      <c r="I112" s="222"/>
      <c r="J112" s="476"/>
    </row>
    <row r="113" spans="1:13" s="65" customFormat="1" x14ac:dyDescent="0.25">
      <c r="A113" s="100" t="s">
        <v>587</v>
      </c>
      <c r="B113" s="2"/>
      <c r="C113" s="2" t="s">
        <v>1</v>
      </c>
      <c r="D113" s="39"/>
      <c r="E113" s="39"/>
      <c r="F113" s="364">
        <v>11000</v>
      </c>
      <c r="G113" s="38">
        <f t="shared" si="13"/>
        <v>0</v>
      </c>
      <c r="H113" s="199" t="s">
        <v>864</v>
      </c>
      <c r="I113" s="223"/>
      <c r="J113" s="476"/>
    </row>
    <row r="114" spans="1:13" s="4" customFormat="1" x14ac:dyDescent="0.25">
      <c r="A114" s="99" t="s">
        <v>588</v>
      </c>
      <c r="B114" s="58"/>
      <c r="C114" s="58" t="s">
        <v>1</v>
      </c>
      <c r="D114" s="58"/>
      <c r="E114" s="58"/>
      <c r="F114" s="364">
        <v>11000</v>
      </c>
      <c r="G114" s="38">
        <f t="shared" si="13"/>
        <v>0</v>
      </c>
      <c r="H114" s="199" t="s">
        <v>865</v>
      </c>
      <c r="I114" s="223"/>
      <c r="J114" s="476"/>
    </row>
    <row r="115" spans="1:13" s="65" customFormat="1" x14ac:dyDescent="0.25">
      <c r="A115" s="100" t="s">
        <v>589</v>
      </c>
      <c r="B115" s="2"/>
      <c r="C115" s="2" t="s">
        <v>1</v>
      </c>
      <c r="D115" s="2"/>
      <c r="E115" s="2"/>
      <c r="F115" s="251">
        <v>11000</v>
      </c>
      <c r="G115" s="38">
        <f t="shared" si="13"/>
        <v>0</v>
      </c>
      <c r="H115" s="199" t="s">
        <v>866</v>
      </c>
      <c r="I115" s="223"/>
      <c r="J115" s="476"/>
    </row>
    <row r="116" spans="1:13" s="4" customFormat="1" ht="15.75" thickBot="1" x14ac:dyDescent="0.3">
      <c r="A116" s="97" t="s">
        <v>590</v>
      </c>
      <c r="B116" s="56"/>
      <c r="C116" s="56" t="s">
        <v>1</v>
      </c>
      <c r="D116" s="56"/>
      <c r="E116" s="56"/>
      <c r="F116" s="251">
        <v>11000</v>
      </c>
      <c r="G116" s="38">
        <f t="shared" si="13"/>
        <v>0</v>
      </c>
      <c r="H116" s="199" t="s">
        <v>867</v>
      </c>
      <c r="I116" s="223"/>
      <c r="J116" s="476"/>
    </row>
    <row r="117" spans="1:13" s="4" customFormat="1" ht="15.75" thickBot="1" x14ac:dyDescent="0.3">
      <c r="A117" s="540" t="s">
        <v>99</v>
      </c>
      <c r="B117" s="541"/>
      <c r="C117" s="541"/>
      <c r="D117" s="541"/>
      <c r="E117" s="541"/>
      <c r="F117" s="541"/>
      <c r="G117" s="542"/>
      <c r="H117" s="199" t="s">
        <v>868</v>
      </c>
      <c r="I117" s="223"/>
      <c r="J117" s="476"/>
      <c r="K117" s="16"/>
      <c r="L117" s="16"/>
      <c r="M117" s="16"/>
    </row>
    <row r="118" spans="1:13" s="65" customFormat="1" x14ac:dyDescent="0.25">
      <c r="A118" s="122" t="s">
        <v>499</v>
      </c>
      <c r="B118" s="123"/>
      <c r="C118" s="123" t="s">
        <v>4</v>
      </c>
      <c r="D118" s="123"/>
      <c r="E118" s="123"/>
      <c r="F118" s="395">
        <v>525</v>
      </c>
      <c r="G118" s="126">
        <f>F118*B118</f>
        <v>0</v>
      </c>
      <c r="H118" s="223" t="s">
        <v>869</v>
      </c>
      <c r="I118" s="223"/>
      <c r="J118" s="476"/>
    </row>
    <row r="119" spans="1:13" x14ac:dyDescent="0.25">
      <c r="A119" s="127" t="s">
        <v>500</v>
      </c>
      <c r="B119" s="58"/>
      <c r="C119" s="58" t="s">
        <v>0</v>
      </c>
      <c r="D119" s="58"/>
      <c r="E119" s="58"/>
      <c r="F119" s="364">
        <v>625</v>
      </c>
      <c r="G119" s="438">
        <f t="shared" ref="G119:G149" si="14">F119*B119</f>
        <v>0</v>
      </c>
      <c r="H119" s="223" t="s">
        <v>870</v>
      </c>
      <c r="I119" s="223"/>
      <c r="J119" s="476"/>
      <c r="K119" s="16"/>
      <c r="L119" s="16"/>
      <c r="M119" s="16"/>
    </row>
    <row r="120" spans="1:13" s="65" customFormat="1" x14ac:dyDescent="0.25">
      <c r="A120" s="128" t="s">
        <v>501</v>
      </c>
      <c r="B120" s="2"/>
      <c r="C120" s="2" t="s">
        <v>4</v>
      </c>
      <c r="D120" s="2"/>
      <c r="E120" s="2"/>
      <c r="F120" s="364">
        <v>525</v>
      </c>
      <c r="G120" s="438">
        <f t="shared" si="14"/>
        <v>0</v>
      </c>
      <c r="H120" s="223" t="s">
        <v>819</v>
      </c>
      <c r="I120" s="223"/>
      <c r="J120" s="476"/>
      <c r="K120" s="16"/>
      <c r="L120" s="17"/>
      <c r="M120" s="16"/>
    </row>
    <row r="121" spans="1:13" x14ac:dyDescent="0.25">
      <c r="A121" s="127" t="s">
        <v>502</v>
      </c>
      <c r="B121" s="58"/>
      <c r="C121" s="58" t="s">
        <v>4</v>
      </c>
      <c r="D121" s="58"/>
      <c r="E121" s="58"/>
      <c r="F121" s="364">
        <v>700</v>
      </c>
      <c r="G121" s="438">
        <f t="shared" si="14"/>
        <v>0</v>
      </c>
      <c r="H121" s="223" t="s">
        <v>819</v>
      </c>
      <c r="I121" s="223"/>
      <c r="J121" s="476"/>
      <c r="K121" s="16"/>
      <c r="L121" s="16"/>
      <c r="M121" s="16"/>
    </row>
    <row r="122" spans="1:13" s="65" customFormat="1" x14ac:dyDescent="0.25">
      <c r="A122" s="128" t="s">
        <v>503</v>
      </c>
      <c r="B122" s="2"/>
      <c r="C122" s="2" t="s">
        <v>0</v>
      </c>
      <c r="D122" s="2"/>
      <c r="E122" s="2"/>
      <c r="F122" s="364">
        <v>813</v>
      </c>
      <c r="G122" s="438">
        <f t="shared" si="14"/>
        <v>0</v>
      </c>
      <c r="H122" s="223" t="s">
        <v>819</v>
      </c>
      <c r="I122" s="223"/>
      <c r="J122" s="476"/>
    </row>
    <row r="123" spans="1:13" s="4" customFormat="1" x14ac:dyDescent="0.25">
      <c r="A123" s="127" t="s">
        <v>713</v>
      </c>
      <c r="B123" s="58"/>
      <c r="C123" s="58" t="s">
        <v>0</v>
      </c>
      <c r="D123" s="58"/>
      <c r="E123" s="58"/>
      <c r="F123" s="364">
        <v>1063</v>
      </c>
      <c r="G123" s="438">
        <f t="shared" si="14"/>
        <v>0</v>
      </c>
      <c r="H123" s="223" t="s">
        <v>819</v>
      </c>
      <c r="I123" s="223"/>
      <c r="J123" s="476"/>
    </row>
    <row r="124" spans="1:13" s="65" customFormat="1" x14ac:dyDescent="0.25">
      <c r="A124" s="128" t="s">
        <v>561</v>
      </c>
      <c r="B124" s="2"/>
      <c r="C124" s="2" t="s">
        <v>0</v>
      </c>
      <c r="D124" s="2"/>
      <c r="E124" s="2"/>
      <c r="F124" s="364">
        <v>1088</v>
      </c>
      <c r="G124" s="438">
        <f t="shared" si="14"/>
        <v>0</v>
      </c>
      <c r="H124" s="223" t="s">
        <v>819</v>
      </c>
      <c r="I124" s="223"/>
      <c r="J124" s="476"/>
    </row>
    <row r="125" spans="1:13" x14ac:dyDescent="0.25">
      <c r="A125" s="127" t="s">
        <v>504</v>
      </c>
      <c r="B125" s="58"/>
      <c r="C125" s="58" t="s">
        <v>0</v>
      </c>
      <c r="D125" s="58"/>
      <c r="E125" s="58"/>
      <c r="F125" s="364">
        <v>1150</v>
      </c>
      <c r="G125" s="438">
        <f t="shared" si="14"/>
        <v>0</v>
      </c>
      <c r="H125" s="223" t="s">
        <v>819</v>
      </c>
      <c r="I125" s="223"/>
      <c r="J125" s="476"/>
      <c r="M125" s="4"/>
    </row>
    <row r="126" spans="1:13" s="65" customFormat="1" x14ac:dyDescent="0.25">
      <c r="A126" s="128" t="s">
        <v>505</v>
      </c>
      <c r="B126" s="2"/>
      <c r="C126" s="2" t="s">
        <v>0</v>
      </c>
      <c r="D126" s="2"/>
      <c r="E126" s="2"/>
      <c r="F126" s="364">
        <v>1438</v>
      </c>
      <c r="G126" s="438">
        <f t="shared" si="14"/>
        <v>0</v>
      </c>
      <c r="H126" s="223" t="s">
        <v>819</v>
      </c>
      <c r="I126" s="223"/>
      <c r="J126" s="476"/>
    </row>
    <row r="127" spans="1:13" s="4" customFormat="1" x14ac:dyDescent="0.25">
      <c r="A127" s="487" t="s">
        <v>600</v>
      </c>
      <c r="B127" s="488">
        <v>25</v>
      </c>
      <c r="C127" s="58" t="s">
        <v>0</v>
      </c>
      <c r="D127" s="58"/>
      <c r="E127" s="58"/>
      <c r="F127" s="364">
        <v>450</v>
      </c>
      <c r="G127" s="438">
        <f t="shared" si="14"/>
        <v>11250</v>
      </c>
      <c r="H127" s="223" t="s">
        <v>819</v>
      </c>
      <c r="I127" s="223"/>
      <c r="J127" s="476"/>
    </row>
    <row r="128" spans="1:13" s="65" customFormat="1" x14ac:dyDescent="0.25">
      <c r="A128" s="128" t="s">
        <v>599</v>
      </c>
      <c r="B128" s="488"/>
      <c r="C128" s="2" t="s">
        <v>0</v>
      </c>
      <c r="D128" s="2"/>
      <c r="E128" s="2"/>
      <c r="F128" s="364">
        <v>488</v>
      </c>
      <c r="G128" s="438">
        <f t="shared" si="14"/>
        <v>0</v>
      </c>
      <c r="H128" s="223" t="s">
        <v>819</v>
      </c>
      <c r="I128" s="223"/>
      <c r="J128" s="476"/>
    </row>
    <row r="129" spans="1:10" s="4" customFormat="1" x14ac:dyDescent="0.25">
      <c r="A129" s="487" t="s">
        <v>1041</v>
      </c>
      <c r="B129" s="488"/>
      <c r="C129" s="58" t="s">
        <v>0</v>
      </c>
      <c r="D129" s="58" t="s">
        <v>1042</v>
      </c>
      <c r="E129" s="58"/>
      <c r="F129" s="364">
        <v>338</v>
      </c>
      <c r="G129" s="438">
        <f t="shared" si="14"/>
        <v>0</v>
      </c>
      <c r="H129" s="223" t="s">
        <v>819</v>
      </c>
      <c r="I129" s="223"/>
      <c r="J129" s="476"/>
    </row>
    <row r="130" spans="1:10" s="65" customFormat="1" x14ac:dyDescent="0.25">
      <c r="A130" s="128" t="s">
        <v>479</v>
      </c>
      <c r="B130" s="488"/>
      <c r="C130" s="2" t="s">
        <v>0</v>
      </c>
      <c r="D130" s="2"/>
      <c r="E130" s="2"/>
      <c r="F130" s="364">
        <v>375</v>
      </c>
      <c r="G130" s="438">
        <f t="shared" si="14"/>
        <v>0</v>
      </c>
      <c r="H130" s="223" t="s">
        <v>819</v>
      </c>
      <c r="I130" s="223"/>
      <c r="J130" s="476"/>
    </row>
    <row r="131" spans="1:10" s="4" customFormat="1" x14ac:dyDescent="0.25">
      <c r="A131" s="127" t="s">
        <v>603</v>
      </c>
      <c r="B131" s="58"/>
      <c r="C131" s="58" t="s">
        <v>4</v>
      </c>
      <c r="D131" s="58"/>
      <c r="E131" s="59"/>
      <c r="F131" s="251">
        <v>450</v>
      </c>
      <c r="G131" s="438">
        <f t="shared" si="14"/>
        <v>0</v>
      </c>
      <c r="H131" s="223" t="s">
        <v>819</v>
      </c>
      <c r="I131" s="223"/>
      <c r="J131" s="476"/>
    </row>
    <row r="132" spans="1:10" s="65" customFormat="1" x14ac:dyDescent="0.25">
      <c r="A132" s="128" t="s">
        <v>602</v>
      </c>
      <c r="B132" s="2"/>
      <c r="C132" s="2" t="s">
        <v>4</v>
      </c>
      <c r="D132" s="2"/>
      <c r="E132" s="39"/>
      <c r="F132" s="251">
        <v>1200</v>
      </c>
      <c r="G132" s="438">
        <f t="shared" si="14"/>
        <v>0</v>
      </c>
      <c r="H132" s="223" t="s">
        <v>819</v>
      </c>
      <c r="I132" s="223"/>
      <c r="J132" s="476"/>
    </row>
    <row r="133" spans="1:10" s="4" customFormat="1" x14ac:dyDescent="0.25">
      <c r="A133" s="127" t="s">
        <v>564</v>
      </c>
      <c r="B133" s="58"/>
      <c r="C133" s="58" t="s">
        <v>4</v>
      </c>
      <c r="D133" s="58"/>
      <c r="E133" s="59"/>
      <c r="F133" s="251">
        <v>800</v>
      </c>
      <c r="G133" s="438">
        <f t="shared" si="14"/>
        <v>0</v>
      </c>
      <c r="H133" s="223" t="s">
        <v>819</v>
      </c>
      <c r="I133" s="223"/>
      <c r="J133" s="476"/>
    </row>
    <row r="134" spans="1:10" s="65" customFormat="1" ht="15.75" thickBot="1" x14ac:dyDescent="0.3">
      <c r="A134" s="128" t="s">
        <v>639</v>
      </c>
      <c r="B134" s="2"/>
      <c r="C134" s="2" t="s">
        <v>4</v>
      </c>
      <c r="D134" s="2"/>
      <c r="E134" s="2"/>
      <c r="F134" s="3">
        <v>275</v>
      </c>
      <c r="G134" s="438">
        <f t="shared" si="14"/>
        <v>0</v>
      </c>
      <c r="H134" s="224" t="s">
        <v>819</v>
      </c>
      <c r="I134" s="224"/>
      <c r="J134" s="476"/>
    </row>
    <row r="135" spans="1:10" s="65" customFormat="1" ht="15.75" thickBot="1" x14ac:dyDescent="0.3">
      <c r="A135" s="127" t="s">
        <v>640</v>
      </c>
      <c r="B135" s="58"/>
      <c r="C135" s="58" t="s">
        <v>4</v>
      </c>
      <c r="D135" s="58"/>
      <c r="E135" s="58"/>
      <c r="F135" s="3">
        <v>275</v>
      </c>
      <c r="G135" s="438">
        <f t="shared" si="14"/>
        <v>0</v>
      </c>
      <c r="H135" s="385"/>
      <c r="I135" s="227" t="s">
        <v>878</v>
      </c>
      <c r="J135" s="473"/>
    </row>
    <row r="136" spans="1:10" s="65" customFormat="1" ht="15.75" thickBot="1" x14ac:dyDescent="0.3">
      <c r="A136" s="128" t="s">
        <v>642</v>
      </c>
      <c r="B136" s="2"/>
      <c r="C136" s="2" t="s">
        <v>4</v>
      </c>
      <c r="D136" s="2"/>
      <c r="E136" s="2"/>
      <c r="F136" s="364">
        <v>194</v>
      </c>
      <c r="G136" s="438">
        <f t="shared" si="14"/>
        <v>0</v>
      </c>
      <c r="H136" s="386"/>
      <c r="I136" s="228" t="s">
        <v>290</v>
      </c>
      <c r="J136" s="479"/>
    </row>
    <row r="137" spans="1:10" s="65" customFormat="1" ht="15.75" thickBot="1" x14ac:dyDescent="0.3">
      <c r="A137" s="127" t="s">
        <v>1043</v>
      </c>
      <c r="B137" s="58">
        <v>99</v>
      </c>
      <c r="C137" s="58" t="s">
        <v>4</v>
      </c>
      <c r="D137" s="58"/>
      <c r="E137" s="58"/>
      <c r="F137" s="364">
        <v>450</v>
      </c>
      <c r="G137" s="438">
        <f t="shared" si="14"/>
        <v>44550</v>
      </c>
      <c r="H137" s="385"/>
      <c r="I137" s="227" t="s">
        <v>828</v>
      </c>
      <c r="J137" s="473"/>
    </row>
    <row r="138" spans="1:10" s="65" customFormat="1" x14ac:dyDescent="0.25">
      <c r="A138" s="128" t="s">
        <v>1051</v>
      </c>
      <c r="B138" s="2">
        <v>141</v>
      </c>
      <c r="C138" s="2" t="s">
        <v>4</v>
      </c>
      <c r="D138" s="2"/>
      <c r="E138" s="2"/>
      <c r="F138" s="364">
        <v>450</v>
      </c>
      <c r="G138" s="438">
        <f t="shared" si="14"/>
        <v>63450</v>
      </c>
      <c r="H138" s="216"/>
      <c r="I138" s="238"/>
      <c r="J138" s="190"/>
    </row>
    <row r="139" spans="1:10" s="65" customFormat="1" x14ac:dyDescent="0.25">
      <c r="A139" s="127" t="s">
        <v>677</v>
      </c>
      <c r="B139" s="58"/>
      <c r="C139" s="58" t="s">
        <v>4</v>
      </c>
      <c r="D139" s="58"/>
      <c r="E139" s="58"/>
      <c r="F139" s="364">
        <v>450</v>
      </c>
      <c r="G139" s="438">
        <f t="shared" si="14"/>
        <v>0</v>
      </c>
      <c r="H139" s="214"/>
      <c r="I139" s="107"/>
      <c r="J139" s="190"/>
    </row>
    <row r="140" spans="1:10" s="65" customFormat="1" x14ac:dyDescent="0.25">
      <c r="A140" s="128" t="s">
        <v>712</v>
      </c>
      <c r="B140" s="2"/>
      <c r="C140" s="2" t="s">
        <v>4</v>
      </c>
      <c r="D140" s="2"/>
      <c r="E140" s="2"/>
      <c r="F140" s="3">
        <v>500</v>
      </c>
      <c r="G140" s="438">
        <f t="shared" si="14"/>
        <v>0</v>
      </c>
      <c r="H140" s="214" t="s">
        <v>714</v>
      </c>
      <c r="I140" s="107"/>
      <c r="J140" s="190"/>
    </row>
    <row r="141" spans="1:10" s="65" customFormat="1" x14ac:dyDescent="0.25">
      <c r="A141" s="127" t="s">
        <v>644</v>
      </c>
      <c r="B141" s="58"/>
      <c r="C141" s="58" t="s">
        <v>4</v>
      </c>
      <c r="D141" s="58"/>
      <c r="E141" s="58"/>
      <c r="F141" s="364">
        <v>450</v>
      </c>
      <c r="G141" s="438">
        <f t="shared" si="14"/>
        <v>0</v>
      </c>
      <c r="H141" s="214"/>
      <c r="I141" s="107"/>
      <c r="J141" s="190"/>
    </row>
    <row r="142" spans="1:10" s="65" customFormat="1" x14ac:dyDescent="0.25">
      <c r="A142" s="128" t="s">
        <v>643</v>
      </c>
      <c r="B142" s="2"/>
      <c r="C142" s="2" t="s">
        <v>4</v>
      </c>
      <c r="D142" s="2"/>
      <c r="E142" s="2"/>
      <c r="F142" s="364">
        <v>450</v>
      </c>
      <c r="G142" s="438">
        <f t="shared" si="14"/>
        <v>0</v>
      </c>
      <c r="H142" s="214" t="s">
        <v>709</v>
      </c>
      <c r="I142" s="107"/>
      <c r="J142" s="190"/>
    </row>
    <row r="143" spans="1:10" s="65" customFormat="1" x14ac:dyDescent="0.25">
      <c r="A143" s="127" t="s">
        <v>451</v>
      </c>
      <c r="B143" s="58"/>
      <c r="C143" s="58" t="s">
        <v>4</v>
      </c>
      <c r="D143" s="58"/>
      <c r="E143" s="58"/>
      <c r="F143" s="252">
        <v>500</v>
      </c>
      <c r="G143" s="438">
        <f t="shared" si="14"/>
        <v>0</v>
      </c>
      <c r="H143" s="214"/>
      <c r="I143" s="107"/>
      <c r="J143" s="190"/>
    </row>
    <row r="144" spans="1:10" s="65" customFormat="1" x14ac:dyDescent="0.25">
      <c r="A144" s="128" t="s">
        <v>452</v>
      </c>
      <c r="B144" s="2"/>
      <c r="C144" s="2" t="s">
        <v>4</v>
      </c>
      <c r="D144" s="2"/>
      <c r="E144" s="2"/>
      <c r="F144" s="364">
        <v>688</v>
      </c>
      <c r="G144" s="438">
        <f t="shared" si="14"/>
        <v>0</v>
      </c>
      <c r="H144" s="214"/>
      <c r="I144" s="107"/>
      <c r="J144" s="190"/>
    </row>
    <row r="145" spans="1:10" s="65" customFormat="1" x14ac:dyDescent="0.25">
      <c r="A145" s="127" t="s">
        <v>453</v>
      </c>
      <c r="B145" s="58"/>
      <c r="C145" s="58" t="s">
        <v>4</v>
      </c>
      <c r="D145" s="58"/>
      <c r="E145" s="58"/>
      <c r="F145" s="364">
        <v>688</v>
      </c>
      <c r="G145" s="438">
        <f t="shared" si="14"/>
        <v>0</v>
      </c>
      <c r="H145" s="214"/>
      <c r="I145" s="107"/>
      <c r="J145" s="190"/>
    </row>
    <row r="146" spans="1:10" s="65" customFormat="1" x14ac:dyDescent="0.25">
      <c r="A146" s="162" t="s">
        <v>888</v>
      </c>
      <c r="B146" s="56"/>
      <c r="C146" s="56" t="s">
        <v>722</v>
      </c>
      <c r="D146" s="56"/>
      <c r="E146" s="56"/>
      <c r="F146" s="251"/>
      <c r="G146" s="438">
        <f t="shared" si="14"/>
        <v>0</v>
      </c>
      <c r="H146" s="214"/>
      <c r="I146" s="242"/>
      <c r="J146" s="190"/>
    </row>
    <row r="147" spans="1:10" s="65" customFormat="1" x14ac:dyDescent="0.25">
      <c r="A147" s="162" t="s">
        <v>887</v>
      </c>
      <c r="B147" s="56"/>
      <c r="C147" s="56" t="s">
        <v>722</v>
      </c>
      <c r="D147" s="56"/>
      <c r="E147" s="56"/>
      <c r="F147" s="251"/>
      <c r="G147" s="438">
        <f t="shared" si="14"/>
        <v>0</v>
      </c>
      <c r="H147" s="214"/>
      <c r="I147" s="242"/>
      <c r="J147" s="190"/>
    </row>
    <row r="148" spans="1:10" s="65" customFormat="1" x14ac:dyDescent="0.25">
      <c r="A148" s="162" t="s">
        <v>889</v>
      </c>
      <c r="B148" s="56"/>
      <c r="C148" s="56" t="s">
        <v>722</v>
      </c>
      <c r="D148" s="56"/>
      <c r="E148" s="56"/>
      <c r="F148" s="251"/>
      <c r="G148" s="438">
        <f t="shared" si="14"/>
        <v>0</v>
      </c>
      <c r="H148" s="214"/>
      <c r="I148" s="242"/>
      <c r="J148" s="190"/>
    </row>
    <row r="149" spans="1:10" s="65" customFormat="1" ht="15.75" thickBot="1" x14ac:dyDescent="0.3">
      <c r="A149" s="142" t="s">
        <v>601</v>
      </c>
      <c r="B149" s="143"/>
      <c r="C149" s="143" t="s">
        <v>4</v>
      </c>
      <c r="D149" s="143"/>
      <c r="E149" s="143"/>
      <c r="F149" s="268"/>
      <c r="G149" s="440">
        <f t="shared" si="14"/>
        <v>0</v>
      </c>
      <c r="H149" s="214"/>
      <c r="I149" s="107"/>
      <c r="J149" s="190"/>
    </row>
    <row r="150" spans="1:10" s="4" customFormat="1" ht="15.75" thickBot="1" x14ac:dyDescent="0.3">
      <c r="A150" s="540" t="s">
        <v>427</v>
      </c>
      <c r="B150" s="541"/>
      <c r="C150" s="541"/>
      <c r="D150" s="541"/>
      <c r="E150" s="541"/>
      <c r="F150" s="541"/>
      <c r="G150" s="542"/>
      <c r="H150" s="213"/>
      <c r="I150" s="86"/>
      <c r="J150" s="112"/>
    </row>
    <row r="151" spans="1:10" s="65" customFormat="1" x14ac:dyDescent="0.25">
      <c r="A151" s="104" t="s">
        <v>604</v>
      </c>
      <c r="B151" s="34"/>
      <c r="C151" s="2" t="s">
        <v>0</v>
      </c>
      <c r="D151" s="38"/>
      <c r="E151" s="38"/>
      <c r="F151" s="372"/>
      <c r="G151" s="38">
        <f>F151*B151</f>
        <v>0</v>
      </c>
      <c r="H151" s="113"/>
      <c r="I151" s="192"/>
      <c r="J151" s="192"/>
    </row>
    <row r="152" spans="1:10" s="4" customFormat="1" x14ac:dyDescent="0.25">
      <c r="A152" s="72" t="s">
        <v>454</v>
      </c>
      <c r="B152" s="3"/>
      <c r="C152" s="3" t="s">
        <v>0</v>
      </c>
      <c r="D152" s="88"/>
      <c r="E152" s="88"/>
      <c r="F152" s="286"/>
      <c r="G152" s="38">
        <f>F152*B152</f>
        <v>0</v>
      </c>
      <c r="H152" s="113"/>
      <c r="I152" s="110"/>
      <c r="J152" s="110"/>
    </row>
    <row r="153" spans="1:10" s="65" customFormat="1" x14ac:dyDescent="0.25">
      <c r="A153" s="100" t="s">
        <v>613</v>
      </c>
      <c r="B153" s="2"/>
      <c r="C153" s="2" t="s">
        <v>0</v>
      </c>
      <c r="D153" s="39"/>
      <c r="E153" s="39"/>
      <c r="F153" s="251"/>
      <c r="G153" s="38">
        <f t="shared" ref="G153:G166" si="15">F153*B153</f>
        <v>0</v>
      </c>
      <c r="H153" s="113"/>
      <c r="I153" s="192"/>
      <c r="J153" s="192"/>
    </row>
    <row r="154" spans="1:10" s="4" customFormat="1" x14ac:dyDescent="0.25">
      <c r="A154" s="72" t="s">
        <v>609</v>
      </c>
      <c r="B154" s="3"/>
      <c r="C154" s="3" t="s">
        <v>0</v>
      </c>
      <c r="D154" s="88"/>
      <c r="E154" s="88"/>
      <c r="F154" s="364">
        <v>3000</v>
      </c>
      <c r="G154" s="38">
        <f t="shared" si="15"/>
        <v>0</v>
      </c>
      <c r="H154" s="113"/>
      <c r="I154" s="110"/>
      <c r="J154" s="110"/>
    </row>
    <row r="155" spans="1:10" s="65" customFormat="1" x14ac:dyDescent="0.25">
      <c r="A155" s="100" t="s">
        <v>610</v>
      </c>
      <c r="B155" s="2"/>
      <c r="C155" s="2" t="s">
        <v>0</v>
      </c>
      <c r="D155" s="39"/>
      <c r="E155" s="39"/>
      <c r="F155" s="364">
        <v>3000</v>
      </c>
      <c r="G155" s="38">
        <f t="shared" si="15"/>
        <v>0</v>
      </c>
      <c r="H155" s="113"/>
      <c r="I155" s="192"/>
      <c r="J155" s="192"/>
    </row>
    <row r="156" spans="1:10" s="4" customFormat="1" x14ac:dyDescent="0.25">
      <c r="A156" s="72" t="s">
        <v>611</v>
      </c>
      <c r="B156" s="3"/>
      <c r="C156" s="3" t="s">
        <v>0</v>
      </c>
      <c r="D156" s="88"/>
      <c r="E156" s="88"/>
      <c r="F156" s="364">
        <v>3000</v>
      </c>
      <c r="G156" s="38">
        <f t="shared" si="15"/>
        <v>0</v>
      </c>
      <c r="H156" s="113"/>
      <c r="I156" s="110"/>
      <c r="J156" s="110"/>
    </row>
    <row r="157" spans="1:10" s="65" customFormat="1" x14ac:dyDescent="0.25">
      <c r="A157" s="100" t="s">
        <v>612</v>
      </c>
      <c r="B157" s="2"/>
      <c r="C157" s="2" t="s">
        <v>0</v>
      </c>
      <c r="D157" s="39"/>
      <c r="E157" s="39"/>
      <c r="F157" s="364">
        <v>3000</v>
      </c>
      <c r="G157" s="38">
        <f t="shared" si="15"/>
        <v>0</v>
      </c>
      <c r="H157" s="113"/>
      <c r="I157" s="192"/>
      <c r="J157" s="192"/>
    </row>
    <row r="158" spans="1:10" s="4" customFormat="1" x14ac:dyDescent="0.25">
      <c r="A158" s="72" t="s">
        <v>622</v>
      </c>
      <c r="B158" s="3"/>
      <c r="C158" s="3" t="s">
        <v>0</v>
      </c>
      <c r="D158" s="88"/>
      <c r="E158" s="88"/>
      <c r="F158" s="364">
        <v>2250</v>
      </c>
      <c r="G158" s="38">
        <f t="shared" si="15"/>
        <v>0</v>
      </c>
      <c r="H158" s="113"/>
      <c r="I158" s="110"/>
      <c r="J158" s="110"/>
    </row>
    <row r="159" spans="1:10" s="65" customFormat="1" x14ac:dyDescent="0.25">
      <c r="A159" s="100" t="s">
        <v>636</v>
      </c>
      <c r="B159" s="2"/>
      <c r="C159" s="2" t="s">
        <v>0</v>
      </c>
      <c r="D159" s="39"/>
      <c r="E159" s="39"/>
      <c r="F159" s="364">
        <v>6250</v>
      </c>
      <c r="G159" s="38">
        <f t="shared" si="15"/>
        <v>0</v>
      </c>
      <c r="H159" s="113"/>
      <c r="I159" s="192"/>
      <c r="J159" s="192"/>
    </row>
    <row r="160" spans="1:10" s="4" customFormat="1" x14ac:dyDescent="0.25">
      <c r="A160" s="72" t="s">
        <v>637</v>
      </c>
      <c r="B160" s="3"/>
      <c r="C160" s="3" t="s">
        <v>0</v>
      </c>
      <c r="D160" s="88"/>
      <c r="E160" s="88"/>
      <c r="F160" s="364">
        <v>6250</v>
      </c>
      <c r="G160" s="38">
        <f t="shared" si="15"/>
        <v>0</v>
      </c>
      <c r="H160" s="113"/>
      <c r="I160" s="110"/>
      <c r="J160" s="110"/>
    </row>
    <row r="161" spans="1:10" s="65" customFormat="1" x14ac:dyDescent="0.25">
      <c r="A161" s="100" t="s">
        <v>507</v>
      </c>
      <c r="B161" s="2"/>
      <c r="C161" s="2" t="s">
        <v>0</v>
      </c>
      <c r="D161" s="39"/>
      <c r="E161" s="39"/>
      <c r="F161" s="364">
        <v>10000</v>
      </c>
      <c r="G161" s="38">
        <f t="shared" si="15"/>
        <v>0</v>
      </c>
      <c r="H161" s="113"/>
      <c r="I161" s="192"/>
      <c r="J161" s="192"/>
    </row>
    <row r="162" spans="1:10" s="4" customFormat="1" x14ac:dyDescent="0.25">
      <c r="A162" s="72" t="s">
        <v>605</v>
      </c>
      <c r="B162" s="3"/>
      <c r="C162" s="3" t="s">
        <v>0</v>
      </c>
      <c r="D162" s="88"/>
      <c r="E162" s="88"/>
      <c r="F162" s="364">
        <v>10000</v>
      </c>
      <c r="G162" s="38">
        <f t="shared" si="15"/>
        <v>0</v>
      </c>
      <c r="H162" s="113"/>
      <c r="I162" s="110"/>
      <c r="J162" s="110"/>
    </row>
    <row r="163" spans="1:10" s="65" customFormat="1" x14ac:dyDescent="0.25">
      <c r="A163" s="100" t="s">
        <v>606</v>
      </c>
      <c r="B163" s="2"/>
      <c r="C163" s="2" t="s">
        <v>0</v>
      </c>
      <c r="D163" s="39"/>
      <c r="E163" s="39"/>
      <c r="F163" s="364">
        <v>13750</v>
      </c>
      <c r="G163" s="38">
        <f t="shared" si="15"/>
        <v>0</v>
      </c>
      <c r="H163" s="113"/>
      <c r="I163" s="192"/>
      <c r="J163" s="192"/>
    </row>
    <row r="164" spans="1:10" s="4" customFormat="1" x14ac:dyDescent="0.25">
      <c r="A164" s="72" t="s">
        <v>506</v>
      </c>
      <c r="B164" s="3"/>
      <c r="C164" s="3" t="s">
        <v>0</v>
      </c>
      <c r="D164" s="88"/>
      <c r="E164" s="88"/>
      <c r="F164" s="364">
        <v>13750</v>
      </c>
      <c r="G164" s="38">
        <f t="shared" si="15"/>
        <v>0</v>
      </c>
      <c r="H164" s="113"/>
      <c r="I164" s="110"/>
      <c r="J164" s="110"/>
    </row>
    <row r="165" spans="1:10" s="65" customFormat="1" x14ac:dyDescent="0.25">
      <c r="A165" s="100" t="s">
        <v>607</v>
      </c>
      <c r="B165" s="2"/>
      <c r="C165" s="2" t="s">
        <v>0</v>
      </c>
      <c r="D165" s="39"/>
      <c r="E165" s="39"/>
      <c r="F165" s="364">
        <v>23125</v>
      </c>
      <c r="G165" s="38">
        <f t="shared" si="15"/>
        <v>0</v>
      </c>
      <c r="H165" s="113"/>
      <c r="I165" s="192"/>
      <c r="J165" s="192"/>
    </row>
    <row r="166" spans="1:10" s="4" customFormat="1" ht="15.75" thickBot="1" x14ac:dyDescent="0.3">
      <c r="A166" s="105" t="s">
        <v>608</v>
      </c>
      <c r="B166" s="92"/>
      <c r="C166" s="92" t="s">
        <v>0</v>
      </c>
      <c r="D166" s="93"/>
      <c r="E166" s="93"/>
      <c r="F166" s="364">
        <v>23125</v>
      </c>
      <c r="G166" s="38">
        <f t="shared" si="15"/>
        <v>0</v>
      </c>
      <c r="H166" s="113"/>
      <c r="I166" s="110"/>
      <c r="J166" s="110"/>
    </row>
    <row r="167" spans="1:10" s="4" customFormat="1" ht="15.75" thickBot="1" x14ac:dyDescent="0.3">
      <c r="A167" s="540" t="s">
        <v>428</v>
      </c>
      <c r="B167" s="541"/>
      <c r="C167" s="541"/>
      <c r="D167" s="541"/>
      <c r="E167" s="541"/>
      <c r="F167" s="541"/>
      <c r="G167" s="541"/>
      <c r="H167" s="113" t="s">
        <v>645</v>
      </c>
      <c r="I167" s="110"/>
      <c r="J167" s="110"/>
    </row>
    <row r="168" spans="1:10" s="4" customFormat="1" x14ac:dyDescent="0.25">
      <c r="A168" s="102" t="s">
        <v>508</v>
      </c>
      <c r="B168" s="60"/>
      <c r="C168" s="60" t="s">
        <v>0</v>
      </c>
      <c r="D168" s="61"/>
      <c r="E168" s="61"/>
      <c r="F168" s="372">
        <v>120</v>
      </c>
      <c r="G168" s="38">
        <f>F168*B168</f>
        <v>0</v>
      </c>
      <c r="H168" s="113">
        <f>(0.045+0.045)*2*1*B168</f>
        <v>0</v>
      </c>
      <c r="I168" s="110" t="s">
        <v>4</v>
      </c>
      <c r="J168" s="110"/>
    </row>
    <row r="169" spans="1:10" s="4" customFormat="1" x14ac:dyDescent="0.25">
      <c r="A169" s="100" t="s">
        <v>509</v>
      </c>
      <c r="B169" s="2"/>
      <c r="C169" s="34" t="s">
        <v>0</v>
      </c>
      <c r="D169" s="39"/>
      <c r="E169" s="39"/>
      <c r="F169" s="371">
        <v>815</v>
      </c>
      <c r="G169" s="38">
        <f t="shared" ref="G169:G174" si="16">F169*B169</f>
        <v>0</v>
      </c>
      <c r="H169" s="113">
        <f>(0.044+0.055)*2*4*B169</f>
        <v>0</v>
      </c>
      <c r="I169" s="110" t="s">
        <v>4</v>
      </c>
      <c r="J169" s="110"/>
    </row>
    <row r="170" spans="1:10" s="4" customFormat="1" x14ac:dyDescent="0.25">
      <c r="A170" s="99" t="s">
        <v>510</v>
      </c>
      <c r="B170" s="58"/>
      <c r="C170" s="60" t="s">
        <v>0</v>
      </c>
      <c r="D170" s="59"/>
      <c r="E170" s="59"/>
      <c r="F170" s="371">
        <v>440</v>
      </c>
      <c r="G170" s="38">
        <f t="shared" si="16"/>
        <v>0</v>
      </c>
      <c r="H170" s="113">
        <f>(0.3+0.04)*2*0.9*B170</f>
        <v>0</v>
      </c>
      <c r="I170" s="110" t="s">
        <v>4</v>
      </c>
      <c r="J170" s="110"/>
    </row>
    <row r="171" spans="1:10" s="4" customFormat="1" x14ac:dyDescent="0.25">
      <c r="A171" s="100" t="s">
        <v>429</v>
      </c>
      <c r="B171" s="2"/>
      <c r="C171" s="34" t="s">
        <v>0</v>
      </c>
      <c r="D171" s="39"/>
      <c r="E171" s="39"/>
      <c r="F171" s="371">
        <v>3250</v>
      </c>
      <c r="G171" s="38">
        <f t="shared" si="16"/>
        <v>0</v>
      </c>
      <c r="H171" s="113">
        <f>(0.3+0.05)*2*4*B171</f>
        <v>0</v>
      </c>
      <c r="I171" s="110" t="s">
        <v>4</v>
      </c>
      <c r="J171" s="110"/>
    </row>
    <row r="172" spans="1:10" s="4" customFormat="1" x14ac:dyDescent="0.25">
      <c r="A172" s="99" t="s">
        <v>430</v>
      </c>
      <c r="B172" s="58"/>
      <c r="C172" s="60" t="s">
        <v>0</v>
      </c>
      <c r="D172" s="59"/>
      <c r="E172" s="59"/>
      <c r="F172" s="371">
        <v>565</v>
      </c>
      <c r="G172" s="38">
        <f t="shared" si="16"/>
        <v>0</v>
      </c>
      <c r="H172" s="113">
        <f>(0.08+0.08)*2*1*B172</f>
        <v>0</v>
      </c>
      <c r="I172" s="110" t="s">
        <v>4</v>
      </c>
      <c r="J172" s="110"/>
    </row>
    <row r="173" spans="1:10" s="4" customFormat="1" x14ac:dyDescent="0.25">
      <c r="A173" s="120" t="s">
        <v>511</v>
      </c>
      <c r="B173" s="2"/>
      <c r="C173" s="2" t="s">
        <v>0</v>
      </c>
      <c r="D173" s="2"/>
      <c r="E173" s="2"/>
      <c r="F173" s="367">
        <v>3600</v>
      </c>
      <c r="G173" s="38">
        <f t="shared" si="16"/>
        <v>0</v>
      </c>
      <c r="H173" s="185">
        <f>B173*(1+0.04)*2*1</f>
        <v>0</v>
      </c>
      <c r="I173" s="110" t="s">
        <v>4</v>
      </c>
      <c r="J173" s="110"/>
    </row>
    <row r="174" spans="1:10" s="4" customFormat="1" ht="15.75" thickBot="1" x14ac:dyDescent="0.3">
      <c r="A174" s="97" t="s">
        <v>638</v>
      </c>
      <c r="B174" s="56"/>
      <c r="C174" s="56" t="s">
        <v>0</v>
      </c>
      <c r="D174" s="56"/>
      <c r="E174" s="56"/>
      <c r="F174" s="373">
        <v>440</v>
      </c>
      <c r="G174" s="38">
        <f t="shared" si="16"/>
        <v>0</v>
      </c>
      <c r="H174" s="113">
        <f>(0.15+0.04)*2*0.9*B174</f>
        <v>0</v>
      </c>
      <c r="I174" s="110" t="s">
        <v>4</v>
      </c>
      <c r="J174" s="110"/>
    </row>
    <row r="175" spans="1:10" s="4" customFormat="1" ht="15.75" thickBot="1" x14ac:dyDescent="0.3">
      <c r="A175" s="540" t="s">
        <v>3</v>
      </c>
      <c r="B175" s="541"/>
      <c r="C175" s="541"/>
      <c r="D175" s="541"/>
      <c r="E175" s="541"/>
      <c r="F175" s="541"/>
      <c r="G175" s="541"/>
      <c r="H175" s="113"/>
      <c r="I175" s="110"/>
      <c r="J175" s="110"/>
    </row>
    <row r="176" spans="1:10" s="65" customFormat="1" x14ac:dyDescent="0.25">
      <c r="A176" s="135" t="s">
        <v>512</v>
      </c>
      <c r="B176" s="136"/>
      <c r="C176" s="136" t="s">
        <v>50</v>
      </c>
      <c r="D176" s="160"/>
      <c r="E176" s="124"/>
      <c r="F176" s="387">
        <v>70</v>
      </c>
      <c r="G176" s="257">
        <f>B176*F176</f>
        <v>0</v>
      </c>
      <c r="H176" s="381" t="s">
        <v>907</v>
      </c>
      <c r="I176" s="192"/>
      <c r="J176" s="192"/>
    </row>
    <row r="177" spans="1:10" s="4" customFormat="1" x14ac:dyDescent="0.25">
      <c r="A177" s="138" t="s">
        <v>513</v>
      </c>
      <c r="B177" s="54">
        <f>ROUNDUP((B68*6+B70*6+B71*6+B85*6+B87*6+B88*6+B37*6+B39*6+B40*6+B46*6+B48*6+B49*6)*0.0431*1.2,0)</f>
        <v>0</v>
      </c>
      <c r="C177" s="62" t="s">
        <v>50</v>
      </c>
      <c r="D177" s="64"/>
      <c r="E177" s="59"/>
      <c r="F177" s="388">
        <v>70</v>
      </c>
      <c r="G177" s="258">
        <f>B177*F177</f>
        <v>0</v>
      </c>
      <c r="H177" s="121"/>
      <c r="I177" s="110"/>
      <c r="J177" s="110"/>
    </row>
    <row r="178" spans="1:10" s="65" customFormat="1" x14ac:dyDescent="0.25">
      <c r="A178" s="139" t="s">
        <v>514</v>
      </c>
      <c r="B178" s="54">
        <f>ROUNDUP((B67*9+B68*9+B69*9+B70*9+B71*9+B84*9+B85*9+B86*9+B87*9+B88*9+B36*9+B37*9+B38*9+B39*9+B40*9+B45*9+B46*9+B47*9+B48*9+B49*9)*0.0219*1.2,0)</f>
        <v>0</v>
      </c>
      <c r="C178" s="46" t="s">
        <v>50</v>
      </c>
      <c r="D178" s="48"/>
      <c r="E178" s="39"/>
      <c r="F178" s="388">
        <v>70</v>
      </c>
      <c r="G178" s="258">
        <f t="shared" ref="G178:G225" si="17">B178*F178</f>
        <v>0</v>
      </c>
      <c r="H178" s="121"/>
      <c r="I178" s="192"/>
      <c r="J178" s="192"/>
    </row>
    <row r="179" spans="1:10" s="4" customFormat="1" x14ac:dyDescent="0.25">
      <c r="A179" s="138" t="s">
        <v>515</v>
      </c>
      <c r="B179" s="53">
        <f>ROUNDUP((B63*8+B64*8+B65*8+B66*8+B67*8+B68*8+B80*8+B81*8+B82*8+B83*8+B84*8+B85*8+B94*8+B95*8+B96*8+B97*8+B98*8+B99*8+B32*8+B33*8+B34*8+B35*8+B36*8+B37*8+B41*8+B42*8+B43*8+B44*8+B45*8+B46*8+B50*8+B51*8+B52*8+B53*8+B54*8)*0.0115*1.2,0)</f>
        <v>7</v>
      </c>
      <c r="C179" s="62" t="s">
        <v>50</v>
      </c>
      <c r="D179" s="64"/>
      <c r="E179" s="59"/>
      <c r="F179" s="388">
        <v>70</v>
      </c>
      <c r="G179" s="258">
        <f t="shared" si="17"/>
        <v>490</v>
      </c>
      <c r="H179" s="121"/>
      <c r="I179" s="110"/>
      <c r="J179" s="110"/>
    </row>
    <row r="180" spans="1:10" s="65" customFormat="1" x14ac:dyDescent="0.25">
      <c r="A180" s="139" t="s">
        <v>516</v>
      </c>
      <c r="B180" s="53">
        <f>ROUNDUP((B29*6+B61*6+B62*6+B63*6+B64*6+B65*6+B78*6+B79*6+B80*6+B81*6+B82*6+B93*6+B94*6+B95*6+B96*6+B97*6+B98*6+B99*6+B32*6+B33*6+B34*6+B41*6+B42*6+B43*6+B50*6+B51*6+B52*6+B53*6+B54*6)*0.0095*1.2,0)</f>
        <v>18</v>
      </c>
      <c r="C180" s="46" t="s">
        <v>50</v>
      </c>
      <c r="D180" s="39"/>
      <c r="E180" s="39"/>
      <c r="F180" s="388">
        <v>70</v>
      </c>
      <c r="G180" s="258">
        <f t="shared" si="17"/>
        <v>1260</v>
      </c>
      <c r="H180" s="121"/>
      <c r="I180" s="192"/>
      <c r="J180" s="192"/>
    </row>
    <row r="181" spans="1:10" s="4" customFormat="1" x14ac:dyDescent="0.25">
      <c r="A181" s="138" t="s">
        <v>517</v>
      </c>
      <c r="B181" s="53">
        <f>ROUNDUP((B56*9+B57*9+B58*9+B59*9+B60*9+B73*9+B74*9+B75*9+B76*9+B77*9+B90*9+B91*9+B92*9)*0.00433*1.5,0)</f>
        <v>8</v>
      </c>
      <c r="C181" s="62" t="s">
        <v>50</v>
      </c>
      <c r="D181" s="59"/>
      <c r="E181" s="59"/>
      <c r="F181" s="388">
        <v>70</v>
      </c>
      <c r="G181" s="258">
        <f t="shared" si="17"/>
        <v>560</v>
      </c>
      <c r="H181" s="121"/>
      <c r="I181" s="110"/>
      <c r="J181" s="110"/>
    </row>
    <row r="182" spans="1:10" s="65" customFormat="1" x14ac:dyDescent="0.25">
      <c r="A182" s="128" t="s">
        <v>518</v>
      </c>
      <c r="B182" s="53">
        <f>ROUNDUP((((B134+B135+B136+B137+B138+B139+B140+B141+B142+B267+B268)*10)*0.00103*2+(((B137+B138+B139+B140+B141+B142+B143+B144+B145)*20)*0.00327*1.2)),0)</f>
        <v>24</v>
      </c>
      <c r="C182" s="46" t="s">
        <v>50</v>
      </c>
      <c r="D182" s="39"/>
      <c r="E182" s="39"/>
      <c r="F182" s="388">
        <v>100</v>
      </c>
      <c r="G182" s="258">
        <f t="shared" si="17"/>
        <v>2400</v>
      </c>
      <c r="H182" s="121"/>
      <c r="I182" s="192"/>
      <c r="J182" s="192"/>
    </row>
    <row r="183" spans="1:10" s="4" customFormat="1" x14ac:dyDescent="0.25">
      <c r="A183" s="127" t="s">
        <v>519</v>
      </c>
      <c r="B183" s="53">
        <f>ROUNDUP((B255+B256+B257+B258+B259+B260+B261+B262+B263)*6*0.00083*0.5,0)</f>
        <v>1</v>
      </c>
      <c r="C183" s="62" t="s">
        <v>50</v>
      </c>
      <c r="D183" s="59"/>
      <c r="E183" s="59"/>
      <c r="F183" s="388">
        <v>120</v>
      </c>
      <c r="G183" s="258">
        <f t="shared" si="17"/>
        <v>120</v>
      </c>
      <c r="H183" s="121"/>
      <c r="I183" s="110"/>
      <c r="J183" s="110"/>
    </row>
    <row r="184" spans="1:10" s="65" customFormat="1" x14ac:dyDescent="0.25">
      <c r="A184" s="128" t="s">
        <v>520</v>
      </c>
      <c r="B184" s="53">
        <f>ROUNDUP((B119*10+B120*10+B121*10)*0.0066*2,0)</f>
        <v>0</v>
      </c>
      <c r="C184" s="46" t="s">
        <v>50</v>
      </c>
      <c r="D184" s="39"/>
      <c r="E184" s="39"/>
      <c r="F184" s="388">
        <v>100</v>
      </c>
      <c r="G184" s="258">
        <f t="shared" si="17"/>
        <v>0</v>
      </c>
      <c r="H184" s="121"/>
      <c r="I184" s="192"/>
      <c r="J184" s="192"/>
    </row>
    <row r="185" spans="1:10" s="4" customFormat="1" x14ac:dyDescent="0.25">
      <c r="A185" s="127" t="s">
        <v>521</v>
      </c>
      <c r="B185" s="58"/>
      <c r="C185" s="62" t="s">
        <v>50</v>
      </c>
      <c r="D185" s="59"/>
      <c r="E185" s="59"/>
      <c r="F185" s="388">
        <v>90</v>
      </c>
      <c r="G185" s="258">
        <f t="shared" si="17"/>
        <v>0</v>
      </c>
      <c r="H185" s="121"/>
      <c r="I185" s="110"/>
      <c r="J185" s="110"/>
    </row>
    <row r="186" spans="1:10" s="65" customFormat="1" x14ac:dyDescent="0.25">
      <c r="A186" s="128" t="s">
        <v>522</v>
      </c>
      <c r="B186" s="2"/>
      <c r="C186" s="46" t="s">
        <v>50</v>
      </c>
      <c r="D186" s="39"/>
      <c r="E186" s="39"/>
      <c r="F186" s="388">
        <v>167</v>
      </c>
      <c r="G186" s="258">
        <f t="shared" si="17"/>
        <v>0</v>
      </c>
      <c r="H186" s="121"/>
      <c r="I186" s="192"/>
      <c r="J186" s="192"/>
    </row>
    <row r="187" spans="1:10" s="4" customFormat="1" x14ac:dyDescent="0.25">
      <c r="A187" s="127" t="s">
        <v>523</v>
      </c>
      <c r="B187" s="58">
        <f>ROUNDUP((B168*2+B169*6+B170*4+B172*2+B174*4)*0.00178*1.2,0)+2</f>
        <v>2</v>
      </c>
      <c r="C187" s="62" t="s">
        <v>50</v>
      </c>
      <c r="D187" s="59"/>
      <c r="E187" s="59"/>
      <c r="F187" s="388">
        <v>167</v>
      </c>
      <c r="G187" s="258">
        <f t="shared" si="17"/>
        <v>334</v>
      </c>
      <c r="H187" s="121"/>
      <c r="I187" s="110"/>
      <c r="J187" s="110"/>
    </row>
    <row r="188" spans="1:10" s="65" customFormat="1" x14ac:dyDescent="0.25">
      <c r="A188" s="128" t="s">
        <v>524</v>
      </c>
      <c r="B188" s="53">
        <f>ROUNDUP((B125+B126+B27)*30*0.00244*1.3+2,0)</f>
        <v>2</v>
      </c>
      <c r="C188" s="46" t="s">
        <v>50</v>
      </c>
      <c r="D188" s="39"/>
      <c r="E188" s="39"/>
      <c r="F188" s="388">
        <v>167</v>
      </c>
      <c r="G188" s="258">
        <f t="shared" si="17"/>
        <v>334</v>
      </c>
      <c r="H188" s="121"/>
      <c r="I188" s="192"/>
      <c r="J188" s="192"/>
    </row>
    <row r="189" spans="1:10" s="4" customFormat="1" x14ac:dyDescent="0.25">
      <c r="A189" s="127" t="s">
        <v>525</v>
      </c>
      <c r="B189" s="53">
        <f>ROUNDUP((B122+B123+B124+B125+B27)*20*0.00176*1.2+(B127+B129)*50*0.00176*1.2,0)</f>
        <v>3</v>
      </c>
      <c r="C189" s="62" t="s">
        <v>50</v>
      </c>
      <c r="D189" s="59"/>
      <c r="E189" s="59"/>
      <c r="F189" s="388">
        <v>167</v>
      </c>
      <c r="G189" s="258">
        <f t="shared" si="17"/>
        <v>501</v>
      </c>
      <c r="H189" s="121"/>
      <c r="I189" s="110"/>
      <c r="J189" s="110"/>
    </row>
    <row r="190" spans="1:10" s="65" customFormat="1" x14ac:dyDescent="0.25">
      <c r="A190" s="128" t="s">
        <v>526</v>
      </c>
      <c r="B190" s="53">
        <f>ROUNDUP((B130+B128)*50*0.0016*1.2,0)</f>
        <v>0</v>
      </c>
      <c r="C190" s="46" t="s">
        <v>50</v>
      </c>
      <c r="D190" s="39"/>
      <c r="E190" s="39"/>
      <c r="F190" s="388">
        <v>167</v>
      </c>
      <c r="G190" s="258">
        <f t="shared" si="17"/>
        <v>0</v>
      </c>
      <c r="H190" s="121"/>
      <c r="I190" s="192"/>
      <c r="J190" s="192"/>
    </row>
    <row r="191" spans="1:10" s="4" customFormat="1" x14ac:dyDescent="0.25">
      <c r="A191" s="127" t="s">
        <v>527</v>
      </c>
      <c r="B191" s="53">
        <f>ROUNDUP((B121*10+B118*4)*0.00178*1.2,0)</f>
        <v>0</v>
      </c>
      <c r="C191" s="62" t="s">
        <v>50</v>
      </c>
      <c r="D191" s="59"/>
      <c r="E191" s="59"/>
      <c r="F191" s="388">
        <v>226</v>
      </c>
      <c r="G191" s="258">
        <f t="shared" si="17"/>
        <v>0</v>
      </c>
      <c r="H191" s="121"/>
      <c r="I191" s="110"/>
      <c r="J191" s="110"/>
    </row>
    <row r="192" spans="1:10" s="65" customFormat="1" x14ac:dyDescent="0.25">
      <c r="A192" s="128" t="s">
        <v>528</v>
      </c>
      <c r="B192" s="2"/>
      <c r="C192" s="46" t="s">
        <v>50</v>
      </c>
      <c r="D192" s="39"/>
      <c r="E192" s="39"/>
      <c r="F192" s="388">
        <v>226</v>
      </c>
      <c r="G192" s="258">
        <f t="shared" si="17"/>
        <v>0</v>
      </c>
      <c r="H192" s="121"/>
      <c r="I192" s="192"/>
      <c r="J192" s="192"/>
    </row>
    <row r="193" spans="1:10" s="4" customFormat="1" x14ac:dyDescent="0.25">
      <c r="A193" s="127" t="s">
        <v>529</v>
      </c>
      <c r="B193" s="95">
        <v>0</v>
      </c>
      <c r="C193" s="62" t="s">
        <v>50</v>
      </c>
      <c r="D193" s="59"/>
      <c r="E193" s="59"/>
      <c r="F193" s="388">
        <v>167</v>
      </c>
      <c r="G193" s="258">
        <f t="shared" si="17"/>
        <v>0</v>
      </c>
      <c r="H193" s="121"/>
      <c r="I193" s="110"/>
      <c r="J193" s="110"/>
    </row>
    <row r="194" spans="1:10" s="65" customFormat="1" x14ac:dyDescent="0.25">
      <c r="A194" s="128" t="s">
        <v>431</v>
      </c>
      <c r="B194" s="53">
        <f>ROUNDUP((B210+B211+B212+B213)*0.15+(B243+B244+B245+B246+B247+B248+B249+B250+B251+B252+B253)*0.5,0)</f>
        <v>4</v>
      </c>
      <c r="C194" s="46" t="s">
        <v>0</v>
      </c>
      <c r="D194" s="39"/>
      <c r="E194" s="39"/>
      <c r="F194" s="388">
        <v>25</v>
      </c>
      <c r="G194" s="258">
        <f t="shared" si="17"/>
        <v>100</v>
      </c>
      <c r="H194" s="121"/>
      <c r="I194" s="192"/>
      <c r="J194" s="192"/>
    </row>
    <row r="195" spans="1:10" s="65" customFormat="1" x14ac:dyDescent="0.25">
      <c r="A195" s="128" t="s">
        <v>1025</v>
      </c>
      <c r="B195" s="95">
        <v>0</v>
      </c>
      <c r="C195" s="46" t="s">
        <v>1026</v>
      </c>
      <c r="D195" s="39"/>
      <c r="E195" s="39"/>
      <c r="F195" s="388"/>
      <c r="G195" s="258"/>
      <c r="H195" s="121"/>
      <c r="I195" s="192"/>
      <c r="J195" s="192"/>
    </row>
    <row r="196" spans="1:10" s="65" customFormat="1" x14ac:dyDescent="0.25">
      <c r="A196" s="128" t="s">
        <v>1027</v>
      </c>
      <c r="B196" s="95">
        <v>0</v>
      </c>
      <c r="C196" s="46" t="s">
        <v>0</v>
      </c>
      <c r="D196" s="39"/>
      <c r="E196" s="39"/>
      <c r="F196" s="388"/>
      <c r="G196" s="258"/>
      <c r="H196" s="121"/>
      <c r="I196" s="192"/>
      <c r="J196" s="192"/>
    </row>
    <row r="197" spans="1:10" s="4" customFormat="1" x14ac:dyDescent="0.25">
      <c r="A197" s="127" t="s">
        <v>530</v>
      </c>
      <c r="B197" s="58">
        <v>5</v>
      </c>
      <c r="C197" s="62" t="s">
        <v>0</v>
      </c>
      <c r="D197" s="59"/>
      <c r="E197" s="59"/>
      <c r="F197" s="388">
        <v>20</v>
      </c>
      <c r="G197" s="258">
        <f t="shared" si="17"/>
        <v>100</v>
      </c>
      <c r="H197" s="121"/>
      <c r="I197" s="110"/>
      <c r="J197" s="110"/>
    </row>
    <row r="198" spans="1:10" s="65" customFormat="1" x14ac:dyDescent="0.25">
      <c r="A198" s="128" t="s">
        <v>531</v>
      </c>
      <c r="B198" s="2">
        <v>0</v>
      </c>
      <c r="C198" s="46" t="s">
        <v>0</v>
      </c>
      <c r="D198" s="39"/>
      <c r="E198" s="39"/>
      <c r="F198" s="388">
        <v>60</v>
      </c>
      <c r="G198" s="258">
        <f t="shared" si="17"/>
        <v>0</v>
      </c>
      <c r="H198" s="121"/>
      <c r="I198" s="192"/>
      <c r="J198" s="192"/>
    </row>
    <row r="199" spans="1:10" s="4" customFormat="1" x14ac:dyDescent="0.25">
      <c r="A199" s="127" t="s">
        <v>532</v>
      </c>
      <c r="B199" s="58">
        <v>4</v>
      </c>
      <c r="C199" s="62" t="s">
        <v>0</v>
      </c>
      <c r="D199" s="59"/>
      <c r="E199" s="59"/>
      <c r="F199" s="388">
        <v>45</v>
      </c>
      <c r="G199" s="258">
        <f t="shared" si="17"/>
        <v>180</v>
      </c>
      <c r="H199" s="121"/>
      <c r="I199" s="110"/>
      <c r="J199" s="110"/>
    </row>
    <row r="200" spans="1:10" s="65" customFormat="1" x14ac:dyDescent="0.25">
      <c r="A200" s="128" t="s">
        <v>533</v>
      </c>
      <c r="B200" s="2">
        <v>2</v>
      </c>
      <c r="C200" s="46" t="s">
        <v>0</v>
      </c>
      <c r="D200" s="39"/>
      <c r="E200" s="39"/>
      <c r="F200" s="388">
        <v>28</v>
      </c>
      <c r="G200" s="258">
        <f t="shared" si="17"/>
        <v>56</v>
      </c>
      <c r="H200" s="121"/>
      <c r="I200" s="192"/>
      <c r="J200" s="192"/>
    </row>
    <row r="201" spans="1:10" s="4" customFormat="1" x14ac:dyDescent="0.25">
      <c r="A201" s="127" t="s">
        <v>534</v>
      </c>
      <c r="B201" s="95">
        <v>6</v>
      </c>
      <c r="C201" s="62" t="s">
        <v>0</v>
      </c>
      <c r="D201" s="59"/>
      <c r="E201" s="59"/>
      <c r="F201" s="388">
        <v>227</v>
      </c>
      <c r="G201" s="258">
        <f t="shared" si="17"/>
        <v>1362</v>
      </c>
      <c r="H201" s="121"/>
      <c r="I201" s="110"/>
      <c r="J201" s="110"/>
    </row>
    <row r="202" spans="1:10" s="65" customFormat="1" x14ac:dyDescent="0.25">
      <c r="A202" s="128" t="s">
        <v>535</v>
      </c>
      <c r="B202" s="95">
        <v>12</v>
      </c>
      <c r="C202" s="46" t="s">
        <v>0</v>
      </c>
      <c r="D202" s="39"/>
      <c r="E202" s="39"/>
      <c r="F202" s="388">
        <v>9</v>
      </c>
      <c r="G202" s="258">
        <f t="shared" si="17"/>
        <v>108</v>
      </c>
      <c r="H202" s="121"/>
      <c r="I202" s="192"/>
      <c r="J202" s="192"/>
    </row>
    <row r="203" spans="1:10" s="4" customFormat="1" x14ac:dyDescent="0.25">
      <c r="A203" s="127" t="s">
        <v>432</v>
      </c>
      <c r="B203" s="95">
        <v>50</v>
      </c>
      <c r="C203" s="62" t="s">
        <v>567</v>
      </c>
      <c r="D203" s="59"/>
      <c r="E203" s="59"/>
      <c r="F203" s="388">
        <v>20</v>
      </c>
      <c r="G203" s="258">
        <f t="shared" si="17"/>
        <v>1000</v>
      </c>
      <c r="H203" s="121"/>
      <c r="I203" s="110"/>
      <c r="J203" s="110"/>
    </row>
    <row r="204" spans="1:10" s="65" customFormat="1" x14ac:dyDescent="0.25">
      <c r="A204" s="128" t="s">
        <v>536</v>
      </c>
      <c r="B204" s="2">
        <v>1</v>
      </c>
      <c r="C204" s="46" t="s">
        <v>0</v>
      </c>
      <c r="D204" s="39"/>
      <c r="E204" s="39"/>
      <c r="F204" s="388">
        <v>110</v>
      </c>
      <c r="G204" s="258">
        <f>B204*F204</f>
        <v>110</v>
      </c>
      <c r="H204" s="121"/>
      <c r="I204" s="192"/>
      <c r="J204" s="192"/>
    </row>
    <row r="205" spans="1:10" s="4" customFormat="1" x14ac:dyDescent="0.25">
      <c r="A205" s="127" t="s">
        <v>537</v>
      </c>
      <c r="B205" s="58">
        <v>0</v>
      </c>
      <c r="C205" s="62" t="s">
        <v>0</v>
      </c>
      <c r="D205" s="59"/>
      <c r="E205" s="59"/>
      <c r="F205" s="388">
        <v>420</v>
      </c>
      <c r="G205" s="258">
        <f t="shared" si="17"/>
        <v>0</v>
      </c>
      <c r="H205" s="121"/>
      <c r="I205" s="110"/>
      <c r="J205" s="110"/>
    </row>
    <row r="206" spans="1:10" s="65" customFormat="1" x14ac:dyDescent="0.25">
      <c r="A206" s="161" t="s">
        <v>1029</v>
      </c>
      <c r="B206" s="166">
        <f>ROUNDUP((B243+B244+B245+B246+B247+B248+B249+B250+B251+B252+B253)*1,0)*3/4</f>
        <v>5.25</v>
      </c>
      <c r="C206" s="46" t="s">
        <v>0</v>
      </c>
      <c r="D206" s="40"/>
      <c r="E206" s="39"/>
      <c r="F206" s="388">
        <v>560</v>
      </c>
      <c r="G206" s="258">
        <f t="shared" si="17"/>
        <v>2940</v>
      </c>
      <c r="H206" s="121"/>
      <c r="I206" s="192"/>
      <c r="J206" s="192"/>
    </row>
    <row r="207" spans="1:10" s="4" customFormat="1" x14ac:dyDescent="0.25">
      <c r="A207" s="163" t="s">
        <v>1028</v>
      </c>
      <c r="B207" s="166">
        <f>ROUNDUP((B243+B244+B245+B246+B247+B248+B249+B250+B251+B252+B253)*1,0)-B206</f>
        <v>1.75</v>
      </c>
      <c r="C207" s="62" t="s">
        <v>0</v>
      </c>
      <c r="D207" s="57"/>
      <c r="E207" s="57"/>
      <c r="F207" s="388">
        <v>461</v>
      </c>
      <c r="G207" s="258">
        <f t="shared" si="17"/>
        <v>806.75</v>
      </c>
      <c r="H207" s="121"/>
      <c r="I207" s="110"/>
      <c r="J207" s="110"/>
    </row>
    <row r="208" spans="1:10" s="65" customFormat="1" x14ac:dyDescent="0.25">
      <c r="A208" s="163" t="s">
        <v>538</v>
      </c>
      <c r="B208" s="151">
        <v>1</v>
      </c>
      <c r="C208" s="46" t="s">
        <v>0</v>
      </c>
      <c r="D208" s="40"/>
      <c r="E208" s="40"/>
      <c r="F208" s="388">
        <v>480</v>
      </c>
      <c r="G208" s="258">
        <f t="shared" si="17"/>
        <v>480</v>
      </c>
      <c r="H208" s="121"/>
      <c r="I208" s="192"/>
      <c r="J208" s="192"/>
    </row>
    <row r="209" spans="1:13" s="65" customFormat="1" ht="30" x14ac:dyDescent="0.25">
      <c r="A209" s="163" t="s">
        <v>1004</v>
      </c>
      <c r="B209" s="151">
        <v>0</v>
      </c>
      <c r="C209" s="46" t="s">
        <v>0</v>
      </c>
      <c r="D209" s="40"/>
      <c r="E209" s="40"/>
      <c r="F209" s="469">
        <v>100</v>
      </c>
      <c r="G209" s="258">
        <f t="shared" si="17"/>
        <v>0</v>
      </c>
      <c r="H209" s="121" t="s">
        <v>1005</v>
      </c>
      <c r="I209" s="192"/>
      <c r="J209" s="192"/>
    </row>
    <row r="210" spans="1:13" s="4" customFormat="1" x14ac:dyDescent="0.25">
      <c r="A210" s="127" t="s">
        <v>646</v>
      </c>
      <c r="B210" s="58"/>
      <c r="C210" s="62" t="s">
        <v>0</v>
      </c>
      <c r="D210" s="59"/>
      <c r="E210" s="59"/>
      <c r="F210" s="388">
        <v>65</v>
      </c>
      <c r="G210" s="258">
        <f t="shared" si="17"/>
        <v>0</v>
      </c>
      <c r="H210" s="121"/>
      <c r="I210" s="110"/>
      <c r="J210" s="110"/>
    </row>
    <row r="211" spans="1:13" s="65" customFormat="1" x14ac:dyDescent="0.25">
      <c r="A211" s="128" t="s">
        <v>539</v>
      </c>
      <c r="B211" s="95">
        <v>0</v>
      </c>
      <c r="C211" s="46" t="s">
        <v>0</v>
      </c>
      <c r="D211" s="39"/>
      <c r="E211" s="39"/>
      <c r="F211" s="388">
        <v>100</v>
      </c>
      <c r="G211" s="258">
        <f t="shared" si="17"/>
        <v>0</v>
      </c>
      <c r="H211" s="121"/>
      <c r="I211" s="192"/>
      <c r="J211" s="192"/>
    </row>
    <row r="212" spans="1:13" s="4" customFormat="1" x14ac:dyDescent="0.25">
      <c r="A212" s="127" t="s">
        <v>647</v>
      </c>
      <c r="B212" s="58"/>
      <c r="C212" s="62" t="s">
        <v>0</v>
      </c>
      <c r="D212" s="59"/>
      <c r="E212" s="59"/>
      <c r="F212" s="388">
        <v>140</v>
      </c>
      <c r="G212" s="258">
        <f t="shared" si="17"/>
        <v>0</v>
      </c>
      <c r="H212" s="121"/>
      <c r="I212" s="110"/>
      <c r="J212" s="110"/>
    </row>
    <row r="213" spans="1:13" s="65" customFormat="1" x14ac:dyDescent="0.25">
      <c r="A213" s="128" t="s">
        <v>1035</v>
      </c>
      <c r="B213" s="2">
        <v>1</v>
      </c>
      <c r="C213" s="46" t="s">
        <v>1036</v>
      </c>
      <c r="D213" s="39"/>
      <c r="E213" s="39"/>
      <c r="F213" s="388">
        <v>200</v>
      </c>
      <c r="G213" s="258">
        <f t="shared" si="17"/>
        <v>200</v>
      </c>
      <c r="H213" s="121"/>
      <c r="I213" s="192"/>
      <c r="J213" s="192"/>
    </row>
    <row r="214" spans="1:13" s="4" customFormat="1" x14ac:dyDescent="0.25">
      <c r="A214" s="127" t="s">
        <v>540</v>
      </c>
      <c r="B214" s="58"/>
      <c r="C214" s="62" t="s">
        <v>0</v>
      </c>
      <c r="D214" s="59"/>
      <c r="E214" s="59"/>
      <c r="F214" s="388">
        <v>25</v>
      </c>
      <c r="G214" s="258">
        <f t="shared" si="17"/>
        <v>0</v>
      </c>
      <c r="H214" s="121"/>
      <c r="I214" s="190"/>
      <c r="J214" s="190"/>
      <c r="K214" s="16"/>
      <c r="L214" s="17"/>
      <c r="M214" s="16"/>
    </row>
    <row r="215" spans="1:13" s="65" customFormat="1" x14ac:dyDescent="0.25">
      <c r="A215" s="128" t="s">
        <v>541</v>
      </c>
      <c r="B215" s="2"/>
      <c r="C215" s="46" t="s">
        <v>0</v>
      </c>
      <c r="D215" s="39"/>
      <c r="E215" s="39"/>
      <c r="F215" s="388">
        <v>380</v>
      </c>
      <c r="G215" s="258">
        <f t="shared" si="17"/>
        <v>0</v>
      </c>
      <c r="H215" s="121"/>
      <c r="I215" s="190"/>
      <c r="J215" s="190"/>
      <c r="K215" s="16"/>
      <c r="L215" s="17"/>
      <c r="M215" s="16"/>
    </row>
    <row r="216" spans="1:13" s="4" customFormat="1" x14ac:dyDescent="0.25">
      <c r="A216" s="127" t="s">
        <v>542</v>
      </c>
      <c r="B216" s="58"/>
      <c r="C216" s="62" t="s">
        <v>0</v>
      </c>
      <c r="D216" s="59"/>
      <c r="E216" s="59"/>
      <c r="F216" s="388">
        <v>20</v>
      </c>
      <c r="G216" s="258">
        <f t="shared" si="17"/>
        <v>0</v>
      </c>
      <c r="H216" s="121"/>
      <c r="I216" s="190"/>
      <c r="J216" s="190"/>
      <c r="K216" s="16"/>
      <c r="L216" s="17"/>
      <c r="M216" s="16"/>
    </row>
    <row r="217" spans="1:13" s="65" customFormat="1" x14ac:dyDescent="0.25">
      <c r="A217" s="128" t="s">
        <v>543</v>
      </c>
      <c r="B217" s="2"/>
      <c r="C217" s="46" t="s">
        <v>0</v>
      </c>
      <c r="D217" s="39"/>
      <c r="E217" s="39"/>
      <c r="F217" s="388">
        <v>45</v>
      </c>
      <c r="G217" s="258">
        <f t="shared" si="17"/>
        <v>0</v>
      </c>
      <c r="H217" s="121"/>
      <c r="I217" s="190"/>
      <c r="J217" s="190"/>
      <c r="K217" s="16"/>
      <c r="L217" s="17"/>
      <c r="M217" s="16"/>
    </row>
    <row r="218" spans="1:13" s="4" customFormat="1" x14ac:dyDescent="0.25">
      <c r="A218" s="162" t="s">
        <v>544</v>
      </c>
      <c r="B218" s="56"/>
      <c r="C218" s="63" t="s">
        <v>0</v>
      </c>
      <c r="D218" s="57"/>
      <c r="E218" s="57"/>
      <c r="F218" s="389">
        <v>75</v>
      </c>
      <c r="G218" s="258">
        <f t="shared" si="17"/>
        <v>0</v>
      </c>
      <c r="H218" s="121"/>
      <c r="I218" s="190"/>
      <c r="J218" s="190"/>
      <c r="K218" s="16"/>
      <c r="L218" s="17"/>
      <c r="M218" s="16"/>
    </row>
    <row r="219" spans="1:13" s="65" customFormat="1" x14ac:dyDescent="0.25">
      <c r="A219" s="128" t="s">
        <v>1044</v>
      </c>
      <c r="B219" s="2">
        <v>18</v>
      </c>
      <c r="C219" s="36" t="s">
        <v>0</v>
      </c>
      <c r="D219" s="2"/>
      <c r="E219" s="39"/>
      <c r="F219" s="390">
        <v>45</v>
      </c>
      <c r="G219" s="258">
        <f>B219*F219</f>
        <v>810</v>
      </c>
      <c r="H219" s="121"/>
      <c r="I219" s="190"/>
      <c r="J219" s="190"/>
      <c r="K219" s="16"/>
      <c r="L219" s="17"/>
      <c r="M219" s="16"/>
    </row>
    <row r="220" spans="1:13" s="65" customFormat="1" x14ac:dyDescent="0.25">
      <c r="A220" s="162" t="s">
        <v>1045</v>
      </c>
      <c r="B220" s="58">
        <v>90</v>
      </c>
      <c r="C220" s="62" t="s">
        <v>0</v>
      </c>
      <c r="D220" s="58"/>
      <c r="E220" s="59"/>
      <c r="F220" s="390">
        <v>60</v>
      </c>
      <c r="G220" s="258">
        <f t="shared" si="17"/>
        <v>5400</v>
      </c>
      <c r="H220" s="121"/>
      <c r="I220" s="190"/>
      <c r="J220" s="190"/>
      <c r="K220" s="16"/>
      <c r="L220" s="17"/>
      <c r="M220" s="16"/>
    </row>
    <row r="221" spans="1:13" s="65" customFormat="1" x14ac:dyDescent="0.25">
      <c r="A221" s="163" t="s">
        <v>1046</v>
      </c>
      <c r="B221" s="2">
        <v>160</v>
      </c>
      <c r="C221" s="36" t="s">
        <v>0</v>
      </c>
      <c r="D221" s="2"/>
      <c r="E221" s="39"/>
      <c r="F221" s="390">
        <v>70</v>
      </c>
      <c r="G221" s="258">
        <f t="shared" si="17"/>
        <v>11200</v>
      </c>
      <c r="H221" s="121"/>
      <c r="I221" s="190"/>
      <c r="J221" s="190"/>
      <c r="K221" s="16"/>
      <c r="L221" s="17"/>
      <c r="M221" s="16"/>
    </row>
    <row r="222" spans="1:13" s="4" customFormat="1" x14ac:dyDescent="0.25">
      <c r="A222" s="162" t="s">
        <v>565</v>
      </c>
      <c r="B222" s="158"/>
      <c r="C222" s="117" t="s">
        <v>0</v>
      </c>
      <c r="D222" s="159"/>
      <c r="E222" s="118"/>
      <c r="F222" s="389">
        <v>5</v>
      </c>
      <c r="G222" s="258">
        <f t="shared" si="17"/>
        <v>0</v>
      </c>
      <c r="H222" s="121"/>
      <c r="I222" s="190"/>
      <c r="J222" s="190"/>
      <c r="K222" s="16"/>
      <c r="L222" s="17"/>
      <c r="M222" s="16"/>
    </row>
    <row r="223" spans="1:13" s="65" customFormat="1" x14ac:dyDescent="0.25">
      <c r="A223" s="128" t="s">
        <v>625</v>
      </c>
      <c r="B223" s="2"/>
      <c r="C223" s="36" t="s">
        <v>0</v>
      </c>
      <c r="D223" s="2"/>
      <c r="E223" s="39"/>
      <c r="F223" s="390">
        <v>35</v>
      </c>
      <c r="G223" s="258">
        <f t="shared" si="17"/>
        <v>0</v>
      </c>
      <c r="H223" s="121"/>
      <c r="I223" s="190"/>
      <c r="J223" s="190"/>
      <c r="K223" s="16"/>
      <c r="L223" s="17"/>
      <c r="M223" s="16"/>
    </row>
    <row r="224" spans="1:13" s="4" customFormat="1" x14ac:dyDescent="0.25">
      <c r="A224" s="127" t="s">
        <v>566</v>
      </c>
      <c r="B224" s="87">
        <f>B223*5*2</f>
        <v>0</v>
      </c>
      <c r="C224" s="62" t="s">
        <v>0</v>
      </c>
      <c r="D224" s="58"/>
      <c r="E224" s="59"/>
      <c r="F224" s="390">
        <v>0.5</v>
      </c>
      <c r="G224" s="258">
        <f t="shared" si="17"/>
        <v>0</v>
      </c>
      <c r="H224" s="121"/>
      <c r="I224" s="190"/>
      <c r="J224" s="190"/>
      <c r="K224" s="16"/>
      <c r="L224" s="17"/>
      <c r="M224" s="16"/>
    </row>
    <row r="225" spans="1:13" s="65" customFormat="1" ht="15.75" thickBot="1" x14ac:dyDescent="0.3">
      <c r="A225" s="142" t="s">
        <v>626</v>
      </c>
      <c r="B225" s="164">
        <f>B223*2*5</f>
        <v>0</v>
      </c>
      <c r="C225" s="165" t="s">
        <v>0</v>
      </c>
      <c r="D225" s="143"/>
      <c r="E225" s="148"/>
      <c r="F225" s="391">
        <v>1.5</v>
      </c>
      <c r="G225" s="259">
        <f t="shared" si="17"/>
        <v>0</v>
      </c>
      <c r="H225" s="121"/>
      <c r="I225" s="190"/>
      <c r="J225" s="190"/>
      <c r="K225" s="16"/>
      <c r="L225" s="17"/>
      <c r="M225" s="16"/>
    </row>
    <row r="226" spans="1:13" s="4" customFormat="1" ht="15.75" thickBot="1" x14ac:dyDescent="0.3">
      <c r="A226" s="540" t="s">
        <v>366</v>
      </c>
      <c r="B226" s="541"/>
      <c r="C226" s="541"/>
      <c r="D226" s="541"/>
      <c r="E226" s="541"/>
      <c r="F226" s="541"/>
      <c r="G226" s="542"/>
      <c r="H226" s="113"/>
      <c r="I226" s="110"/>
      <c r="J226" s="110"/>
    </row>
    <row r="227" spans="1:13" s="65" customFormat="1" x14ac:dyDescent="0.25">
      <c r="A227" s="135" t="s">
        <v>615</v>
      </c>
      <c r="B227" s="136"/>
      <c r="C227" s="136" t="s">
        <v>4</v>
      </c>
      <c r="D227" s="137"/>
      <c r="E227" s="124"/>
      <c r="F227" s="395">
        <v>488</v>
      </c>
      <c r="G227" s="126">
        <f>F227*B227</f>
        <v>0</v>
      </c>
      <c r="H227" s="121"/>
      <c r="I227" s="192"/>
      <c r="J227" s="192"/>
    </row>
    <row r="228" spans="1:13" s="4" customFormat="1" x14ac:dyDescent="0.25">
      <c r="A228" s="138" t="s">
        <v>1049</v>
      </c>
      <c r="B228" s="63">
        <v>164</v>
      </c>
      <c r="C228" s="63" t="s">
        <v>4</v>
      </c>
      <c r="D228" s="69"/>
      <c r="E228" s="59"/>
      <c r="F228" s="364">
        <v>713</v>
      </c>
      <c r="G228" s="438">
        <f t="shared" ref="G228:G236" si="18">F228*B228</f>
        <v>116932</v>
      </c>
      <c r="H228" s="121"/>
      <c r="I228" s="110"/>
      <c r="J228" s="110"/>
    </row>
    <row r="229" spans="1:13" s="65" customFormat="1" x14ac:dyDescent="0.25">
      <c r="A229" s="139" t="s">
        <v>545</v>
      </c>
      <c r="B229" s="36"/>
      <c r="C229" s="36" t="s">
        <v>4</v>
      </c>
      <c r="D229" s="68"/>
      <c r="E229" s="39"/>
      <c r="F229" s="364">
        <v>750</v>
      </c>
      <c r="G229" s="438">
        <f t="shared" si="18"/>
        <v>0</v>
      </c>
      <c r="H229" s="121"/>
      <c r="I229" s="192"/>
      <c r="J229" s="192"/>
    </row>
    <row r="230" spans="1:13" s="4" customFormat="1" x14ac:dyDescent="0.25">
      <c r="A230" s="138" t="s">
        <v>623</v>
      </c>
      <c r="B230" s="63"/>
      <c r="C230" s="62" t="s">
        <v>4</v>
      </c>
      <c r="D230" s="69"/>
      <c r="E230" s="59"/>
      <c r="F230" s="251">
        <v>800</v>
      </c>
      <c r="G230" s="438">
        <f t="shared" si="18"/>
        <v>0</v>
      </c>
      <c r="H230" s="121"/>
      <c r="I230" s="110"/>
      <c r="J230" s="110"/>
    </row>
    <row r="231" spans="1:13" s="65" customFormat="1" x14ac:dyDescent="0.25">
      <c r="A231" s="139" t="s">
        <v>1050</v>
      </c>
      <c r="B231" s="36">
        <v>45</v>
      </c>
      <c r="C231" s="46" t="s">
        <v>567</v>
      </c>
      <c r="D231" s="68"/>
      <c r="E231" s="39"/>
      <c r="F231" s="371">
        <v>500</v>
      </c>
      <c r="G231" s="438">
        <f t="shared" si="18"/>
        <v>22500</v>
      </c>
      <c r="H231" s="121"/>
      <c r="I231" s="192"/>
      <c r="J231" s="192"/>
    </row>
    <row r="232" spans="1:13" s="4" customFormat="1" x14ac:dyDescent="0.25">
      <c r="A232" s="138" t="s">
        <v>1040</v>
      </c>
      <c r="B232" s="63"/>
      <c r="C232" s="62" t="s">
        <v>567</v>
      </c>
      <c r="D232" s="69"/>
      <c r="E232" s="59"/>
      <c r="F232" s="371">
        <v>500</v>
      </c>
      <c r="G232" s="438">
        <f t="shared" si="18"/>
        <v>0</v>
      </c>
      <c r="H232" s="121"/>
      <c r="I232" s="110"/>
      <c r="J232" s="110"/>
    </row>
    <row r="233" spans="1:13" s="65" customFormat="1" x14ac:dyDescent="0.25">
      <c r="A233" s="140" t="s">
        <v>618</v>
      </c>
      <c r="B233" s="133"/>
      <c r="C233" s="46" t="s">
        <v>567</v>
      </c>
      <c r="D233" s="134"/>
      <c r="E233" s="40"/>
      <c r="F233" s="374">
        <v>450</v>
      </c>
      <c r="G233" s="438">
        <f t="shared" si="18"/>
        <v>0</v>
      </c>
      <c r="H233" s="121"/>
      <c r="I233" s="192"/>
      <c r="J233" s="192"/>
    </row>
    <row r="234" spans="1:13" x14ac:dyDescent="0.25">
      <c r="A234" s="127" t="s">
        <v>616</v>
      </c>
      <c r="B234" s="58"/>
      <c r="C234" s="58" t="s">
        <v>4</v>
      </c>
      <c r="D234" s="59"/>
      <c r="E234" s="59"/>
      <c r="F234" s="371">
        <v>450</v>
      </c>
      <c r="G234" s="438">
        <f t="shared" si="18"/>
        <v>0</v>
      </c>
      <c r="H234" s="167"/>
    </row>
    <row r="235" spans="1:13" s="65" customFormat="1" x14ac:dyDescent="0.25">
      <c r="A235" s="128" t="s">
        <v>617</v>
      </c>
      <c r="B235" s="2"/>
      <c r="C235" s="2" t="s">
        <v>4</v>
      </c>
      <c r="D235" s="39"/>
      <c r="E235" s="39"/>
      <c r="F235" s="371">
        <v>500</v>
      </c>
      <c r="G235" s="438">
        <f t="shared" si="18"/>
        <v>0</v>
      </c>
      <c r="H235" s="167"/>
      <c r="I235" s="192"/>
      <c r="J235" s="192"/>
    </row>
    <row r="236" spans="1:13" s="4" customFormat="1" ht="15.75" thickBot="1" x14ac:dyDescent="0.3">
      <c r="A236" s="131" t="s">
        <v>563</v>
      </c>
      <c r="B236" s="132"/>
      <c r="C236" s="141" t="s">
        <v>0</v>
      </c>
      <c r="D236" s="132"/>
      <c r="E236" s="132"/>
      <c r="F236" s="375">
        <v>500</v>
      </c>
      <c r="G236" s="440">
        <f t="shared" si="18"/>
        <v>0</v>
      </c>
      <c r="H236" s="121"/>
      <c r="I236" s="110"/>
      <c r="J236" s="110"/>
    </row>
    <row r="237" spans="1:13" s="4" customFormat="1" ht="15.75" thickBot="1" x14ac:dyDescent="0.3">
      <c r="A237" s="543" t="s">
        <v>436</v>
      </c>
      <c r="B237" s="530"/>
      <c r="C237" s="530"/>
      <c r="D237" s="530"/>
      <c r="E237" s="530"/>
      <c r="F237" s="530"/>
      <c r="G237" s="544"/>
      <c r="H237" s="113"/>
      <c r="I237" s="110"/>
      <c r="J237" s="110"/>
    </row>
    <row r="238" spans="1:13" s="65" customFormat="1" x14ac:dyDescent="0.25">
      <c r="A238" s="135" t="s">
        <v>546</v>
      </c>
      <c r="B238" s="136">
        <v>29.7</v>
      </c>
      <c r="C238" s="136" t="s">
        <v>1</v>
      </c>
      <c r="D238" s="123"/>
      <c r="E238" s="124"/>
      <c r="F238" s="395">
        <v>1382</v>
      </c>
      <c r="G238" s="126">
        <f>F238*B238</f>
        <v>41045.4</v>
      </c>
      <c r="H238" s="121"/>
      <c r="I238" s="192"/>
      <c r="J238" s="192"/>
    </row>
    <row r="239" spans="1:13" s="65" customFormat="1" x14ac:dyDescent="0.25">
      <c r="A239" s="489" t="s">
        <v>1016</v>
      </c>
      <c r="B239" s="46"/>
      <c r="C239" s="46" t="s">
        <v>1</v>
      </c>
      <c r="D239" s="34"/>
      <c r="E239" s="38"/>
      <c r="F239" s="363">
        <v>1382</v>
      </c>
      <c r="G239" s="129">
        <f>F239*B239</f>
        <v>0</v>
      </c>
      <c r="H239" s="121"/>
      <c r="I239" s="192"/>
      <c r="J239" s="192"/>
    </row>
    <row r="240" spans="1:13" s="4" customFormat="1" x14ac:dyDescent="0.25">
      <c r="A240" s="138" t="s">
        <v>547</v>
      </c>
      <c r="B240" s="63"/>
      <c r="C240" s="63" t="s">
        <v>1</v>
      </c>
      <c r="D240" s="58"/>
      <c r="E240" s="59"/>
      <c r="F240" s="364">
        <v>1680</v>
      </c>
      <c r="G240" s="438">
        <f t="shared" ref="G240:G253" si="19">F240*B240</f>
        <v>0</v>
      </c>
      <c r="H240" s="121"/>
      <c r="I240" s="110"/>
      <c r="J240" s="110"/>
    </row>
    <row r="241" spans="1:10" s="65" customFormat="1" x14ac:dyDescent="0.25">
      <c r="A241" s="139" t="s">
        <v>548</v>
      </c>
      <c r="B241" s="36"/>
      <c r="C241" s="36" t="s">
        <v>1</v>
      </c>
      <c r="D241" s="2"/>
      <c r="E241" s="39"/>
      <c r="F241" s="364">
        <v>1680</v>
      </c>
      <c r="G241" s="438">
        <f t="shared" si="19"/>
        <v>0</v>
      </c>
      <c r="H241" s="121"/>
      <c r="I241" s="192"/>
      <c r="J241" s="192"/>
    </row>
    <row r="242" spans="1:10" s="4" customFormat="1" x14ac:dyDescent="0.25">
      <c r="A242" s="127" t="s">
        <v>562</v>
      </c>
      <c r="B242" s="60"/>
      <c r="C242" s="62" t="s">
        <v>0</v>
      </c>
      <c r="D242" s="59"/>
      <c r="E242" s="59"/>
      <c r="F242" s="445">
        <v>4862</v>
      </c>
      <c r="G242" s="438">
        <f t="shared" si="19"/>
        <v>0</v>
      </c>
      <c r="H242" s="446" t="s">
        <v>983</v>
      </c>
      <c r="I242" s="110"/>
      <c r="J242" s="110"/>
    </row>
    <row r="243" spans="1:10" s="65" customFormat="1" x14ac:dyDescent="0.25">
      <c r="A243" s="139" t="s">
        <v>619</v>
      </c>
      <c r="B243" s="36"/>
      <c r="C243" s="46" t="s">
        <v>0</v>
      </c>
      <c r="D243" s="48"/>
      <c r="E243" s="39"/>
      <c r="F243" s="88">
        <v>938</v>
      </c>
      <c r="G243" s="438">
        <f t="shared" si="19"/>
        <v>0</v>
      </c>
      <c r="H243" s="121"/>
      <c r="I243" s="192"/>
      <c r="J243" s="192"/>
    </row>
    <row r="244" spans="1:10" s="4" customFormat="1" x14ac:dyDescent="0.25">
      <c r="A244" s="138" t="s">
        <v>650</v>
      </c>
      <c r="B244" s="63"/>
      <c r="C244" s="62" t="s">
        <v>0</v>
      </c>
      <c r="D244" s="64"/>
      <c r="E244" s="59"/>
      <c r="F244" s="88">
        <v>470</v>
      </c>
      <c r="G244" s="438">
        <f t="shared" si="19"/>
        <v>0</v>
      </c>
      <c r="H244" s="121"/>
      <c r="I244" s="110"/>
      <c r="J244" s="110"/>
    </row>
    <row r="245" spans="1:10" s="65" customFormat="1" x14ac:dyDescent="0.25">
      <c r="A245" s="139" t="s">
        <v>620</v>
      </c>
      <c r="B245" s="36"/>
      <c r="C245" s="46" t="s">
        <v>0</v>
      </c>
      <c r="D245" s="48"/>
      <c r="E245" s="39"/>
      <c r="F245" s="364">
        <v>788</v>
      </c>
      <c r="G245" s="438">
        <f t="shared" si="19"/>
        <v>0</v>
      </c>
      <c r="H245" s="121"/>
      <c r="I245" s="192"/>
      <c r="J245" s="192"/>
    </row>
    <row r="246" spans="1:10" s="4" customFormat="1" x14ac:dyDescent="0.25">
      <c r="A246" s="138" t="s">
        <v>651</v>
      </c>
      <c r="B246" s="63"/>
      <c r="C246" s="62" t="s">
        <v>0</v>
      </c>
      <c r="D246" s="64"/>
      <c r="E246" s="59"/>
      <c r="F246" s="364">
        <v>400</v>
      </c>
      <c r="G246" s="438">
        <f t="shared" si="19"/>
        <v>0</v>
      </c>
      <c r="H246" s="121"/>
      <c r="I246" s="110"/>
      <c r="J246" s="110"/>
    </row>
    <row r="247" spans="1:10" s="65" customFormat="1" x14ac:dyDescent="0.25">
      <c r="A247" s="139" t="s">
        <v>621</v>
      </c>
      <c r="B247" s="36"/>
      <c r="C247" s="46" t="s">
        <v>0</v>
      </c>
      <c r="D247" s="48"/>
      <c r="E247" s="39"/>
      <c r="F247" s="364">
        <v>2313</v>
      </c>
      <c r="G247" s="438">
        <f t="shared" si="19"/>
        <v>0</v>
      </c>
      <c r="H247" s="121"/>
      <c r="I247" s="192"/>
      <c r="J247" s="192"/>
    </row>
    <row r="248" spans="1:10" s="4" customFormat="1" x14ac:dyDescent="0.25">
      <c r="A248" s="138" t="s">
        <v>652</v>
      </c>
      <c r="B248" s="63"/>
      <c r="C248" s="62" t="s">
        <v>0</v>
      </c>
      <c r="D248" s="64"/>
      <c r="E248" s="59"/>
      <c r="F248" s="364">
        <v>1160</v>
      </c>
      <c r="G248" s="438">
        <f t="shared" si="19"/>
        <v>0</v>
      </c>
      <c r="H248" s="121"/>
      <c r="I248" s="110"/>
      <c r="J248" s="110"/>
    </row>
    <row r="249" spans="1:10" s="4" customFormat="1" x14ac:dyDescent="0.25">
      <c r="A249" s="139" t="s">
        <v>681</v>
      </c>
      <c r="B249" s="36"/>
      <c r="C249" s="46" t="s">
        <v>0</v>
      </c>
      <c r="D249" s="48"/>
      <c r="E249" s="39"/>
      <c r="F249" s="364">
        <v>875</v>
      </c>
      <c r="G249" s="438">
        <f t="shared" si="19"/>
        <v>0</v>
      </c>
      <c r="H249" s="121"/>
      <c r="I249" s="110"/>
      <c r="J249" s="110"/>
    </row>
    <row r="250" spans="1:10" s="4" customFormat="1" x14ac:dyDescent="0.25">
      <c r="A250" s="138" t="s">
        <v>682</v>
      </c>
      <c r="B250" s="63"/>
      <c r="C250" s="62" t="s">
        <v>0</v>
      </c>
      <c r="D250" s="64"/>
      <c r="E250" s="59"/>
      <c r="F250" s="88">
        <v>440</v>
      </c>
      <c r="G250" s="438">
        <f t="shared" si="19"/>
        <v>0</v>
      </c>
      <c r="H250" s="121"/>
      <c r="I250" s="110"/>
      <c r="J250" s="110"/>
    </row>
    <row r="251" spans="1:10" s="65" customFormat="1" x14ac:dyDescent="0.25">
      <c r="A251" s="139" t="s">
        <v>1015</v>
      </c>
      <c r="B251" s="36">
        <v>3</v>
      </c>
      <c r="C251" s="46" t="s">
        <v>0</v>
      </c>
      <c r="D251" s="2"/>
      <c r="E251" s="39"/>
      <c r="F251" s="364">
        <v>2194</v>
      </c>
      <c r="G251" s="438">
        <f t="shared" si="19"/>
        <v>6582</v>
      </c>
      <c r="H251" s="121"/>
      <c r="I251" s="192"/>
      <c r="J251" s="192"/>
    </row>
    <row r="252" spans="1:10" s="4" customFormat="1" x14ac:dyDescent="0.25">
      <c r="A252" s="138" t="s">
        <v>1014</v>
      </c>
      <c r="B252" s="63">
        <v>0.5</v>
      </c>
      <c r="C252" s="62" t="s">
        <v>0</v>
      </c>
      <c r="D252" s="58"/>
      <c r="E252" s="58"/>
      <c r="F252" s="364">
        <v>1735</v>
      </c>
      <c r="G252" s="438">
        <f t="shared" si="19"/>
        <v>867.5</v>
      </c>
      <c r="H252" s="121"/>
      <c r="I252" s="110"/>
      <c r="J252" s="110"/>
    </row>
    <row r="253" spans="1:10" s="65" customFormat="1" ht="15.75" thickBot="1" x14ac:dyDescent="0.3">
      <c r="A253" s="172" t="s">
        <v>549</v>
      </c>
      <c r="B253" s="144">
        <v>3</v>
      </c>
      <c r="C253" s="165" t="s">
        <v>0</v>
      </c>
      <c r="D253" s="143"/>
      <c r="E253" s="143"/>
      <c r="F253" s="396">
        <v>3905</v>
      </c>
      <c r="G253" s="440">
        <f t="shared" si="19"/>
        <v>11715</v>
      </c>
      <c r="H253" s="121"/>
      <c r="I253" s="192"/>
      <c r="J253" s="192"/>
    </row>
    <row r="254" spans="1:10" s="4" customFormat="1" ht="15.75" thickBot="1" x14ac:dyDescent="0.3">
      <c r="A254" s="545" t="s">
        <v>435</v>
      </c>
      <c r="B254" s="546"/>
      <c r="C254" s="546"/>
      <c r="D254" s="546"/>
      <c r="E254" s="546"/>
      <c r="F254" s="546"/>
      <c r="G254" s="547"/>
      <c r="H254" s="380" t="s">
        <v>907</v>
      </c>
      <c r="I254" s="110"/>
      <c r="J254" s="110"/>
    </row>
    <row r="255" spans="1:10" s="65" customFormat="1" x14ac:dyDescent="0.25">
      <c r="A255" s="135" t="s">
        <v>550</v>
      </c>
      <c r="B255" s="123"/>
      <c r="C255" s="136" t="s">
        <v>567</v>
      </c>
      <c r="D255" s="124"/>
      <c r="E255" s="124"/>
      <c r="F255" s="392">
        <v>15</v>
      </c>
      <c r="G255" s="275">
        <f>B255*F255</f>
        <v>0</v>
      </c>
      <c r="H255" s="186" t="s">
        <v>669</v>
      </c>
      <c r="I255" s="192"/>
      <c r="J255" s="192"/>
    </row>
    <row r="256" spans="1:10" s="4" customFormat="1" x14ac:dyDescent="0.25">
      <c r="A256" s="138" t="s">
        <v>287</v>
      </c>
      <c r="B256" s="58"/>
      <c r="C256" s="62" t="s">
        <v>567</v>
      </c>
      <c r="D256" s="59"/>
      <c r="E256" s="59"/>
      <c r="F256" s="393">
        <v>17</v>
      </c>
      <c r="G256" s="130">
        <f t="shared" ref="G256:G263" si="20">B256*F256</f>
        <v>0</v>
      </c>
      <c r="H256" s="187" t="s">
        <v>670</v>
      </c>
      <c r="I256" s="110"/>
      <c r="J256" s="110"/>
    </row>
    <row r="257" spans="1:10" s="65" customFormat="1" x14ac:dyDescent="0.25">
      <c r="A257" s="170" t="s">
        <v>678</v>
      </c>
      <c r="B257" s="2"/>
      <c r="C257" s="46" t="s">
        <v>567</v>
      </c>
      <c r="D257" s="39"/>
      <c r="E257" s="39"/>
      <c r="F257" s="393">
        <v>15.5</v>
      </c>
      <c r="G257" s="130">
        <f t="shared" si="20"/>
        <v>0</v>
      </c>
      <c r="H257" s="187" t="s">
        <v>671</v>
      </c>
      <c r="I257" s="192"/>
      <c r="J257" s="192"/>
    </row>
    <row r="258" spans="1:10" s="4" customFormat="1" x14ac:dyDescent="0.25">
      <c r="A258" s="138" t="s">
        <v>551</v>
      </c>
      <c r="B258" s="58"/>
      <c r="C258" s="62" t="s">
        <v>567</v>
      </c>
      <c r="D258" s="59"/>
      <c r="E258" s="59"/>
      <c r="F258" s="393">
        <v>25</v>
      </c>
      <c r="G258" s="130">
        <f t="shared" si="20"/>
        <v>0</v>
      </c>
      <c r="H258" s="187" t="s">
        <v>672</v>
      </c>
      <c r="I258" s="110"/>
      <c r="J258" s="110"/>
    </row>
    <row r="259" spans="1:10" s="65" customFormat="1" x14ac:dyDescent="0.25">
      <c r="A259" s="139" t="s">
        <v>552</v>
      </c>
      <c r="B259" s="2"/>
      <c r="C259" s="46" t="s">
        <v>567</v>
      </c>
      <c r="D259" s="39"/>
      <c r="E259" s="39"/>
      <c r="F259" s="393">
        <v>28</v>
      </c>
      <c r="G259" s="130">
        <f t="shared" si="20"/>
        <v>0</v>
      </c>
      <c r="H259" s="187" t="s">
        <v>673</v>
      </c>
      <c r="I259" s="192"/>
      <c r="J259" s="192"/>
    </row>
    <row r="260" spans="1:10" s="4" customFormat="1" x14ac:dyDescent="0.25">
      <c r="A260" s="171" t="s">
        <v>679</v>
      </c>
      <c r="B260" s="58"/>
      <c r="C260" s="62" t="s">
        <v>567</v>
      </c>
      <c r="D260" s="59"/>
      <c r="E260" s="59"/>
      <c r="F260" s="393">
        <v>30</v>
      </c>
      <c r="G260" s="130">
        <f t="shared" si="20"/>
        <v>0</v>
      </c>
      <c r="H260" s="187" t="s">
        <v>680</v>
      </c>
      <c r="I260" s="110"/>
      <c r="J260" s="110"/>
    </row>
    <row r="261" spans="1:10" s="65" customFormat="1" x14ac:dyDescent="0.25">
      <c r="A261" s="139" t="s">
        <v>653</v>
      </c>
      <c r="B261" s="2">
        <v>67</v>
      </c>
      <c r="C261" s="46" t="s">
        <v>567</v>
      </c>
      <c r="D261" s="39"/>
      <c r="E261" s="39"/>
      <c r="F261" s="393">
        <v>30</v>
      </c>
      <c r="G261" s="130">
        <f t="shared" si="20"/>
        <v>2010</v>
      </c>
      <c r="H261" s="187" t="s">
        <v>674</v>
      </c>
      <c r="I261" s="192"/>
      <c r="J261" s="192"/>
    </row>
    <row r="262" spans="1:10" s="4" customFormat="1" x14ac:dyDescent="0.25">
      <c r="A262" s="138" t="s">
        <v>553</v>
      </c>
      <c r="B262" s="58"/>
      <c r="C262" s="62" t="s">
        <v>567</v>
      </c>
      <c r="D262" s="59"/>
      <c r="E262" s="59"/>
      <c r="F262" s="393">
        <v>27</v>
      </c>
      <c r="G262" s="130">
        <f t="shared" si="20"/>
        <v>0</v>
      </c>
      <c r="H262" s="187" t="s">
        <v>675</v>
      </c>
      <c r="I262" s="110"/>
      <c r="J262" s="110"/>
    </row>
    <row r="263" spans="1:10" s="65" customFormat="1" ht="15.75" thickBot="1" x14ac:dyDescent="0.3">
      <c r="A263" s="172" t="s">
        <v>554</v>
      </c>
      <c r="B263" s="143"/>
      <c r="C263" s="165" t="s">
        <v>567</v>
      </c>
      <c r="D263" s="148"/>
      <c r="E263" s="148"/>
      <c r="F263" s="394">
        <v>29</v>
      </c>
      <c r="G263" s="274">
        <f t="shared" si="20"/>
        <v>0</v>
      </c>
      <c r="H263" s="188" t="s">
        <v>676</v>
      </c>
      <c r="I263" s="192"/>
      <c r="J263" s="192"/>
    </row>
    <row r="264" spans="1:10" ht="15.75" thickBot="1" x14ac:dyDescent="0.3">
      <c r="A264" s="525" t="s">
        <v>403</v>
      </c>
      <c r="B264" s="526"/>
      <c r="C264" s="526"/>
      <c r="D264" s="526"/>
      <c r="E264" s="526"/>
      <c r="F264" s="526"/>
      <c r="G264" s="526"/>
      <c r="H264" s="113"/>
    </row>
    <row r="265" spans="1:10" s="65" customFormat="1" x14ac:dyDescent="0.25">
      <c r="A265" s="122" t="s">
        <v>416</v>
      </c>
      <c r="B265" s="123"/>
      <c r="C265" s="136" t="s">
        <v>0</v>
      </c>
      <c r="D265" s="234"/>
      <c r="E265" s="124"/>
      <c r="F265" s="370">
        <v>440</v>
      </c>
      <c r="G265" s="126">
        <f>F265*B265</f>
        <v>0</v>
      </c>
      <c r="H265" s="121" t="s">
        <v>657</v>
      </c>
      <c r="I265" s="192"/>
      <c r="J265" s="192"/>
    </row>
    <row r="266" spans="1:10" x14ac:dyDescent="0.25">
      <c r="A266" s="127" t="s">
        <v>417</v>
      </c>
      <c r="B266" s="58"/>
      <c r="C266" s="62" t="s">
        <v>0</v>
      </c>
      <c r="D266" s="229"/>
      <c r="E266" s="59"/>
      <c r="F266" s="371">
        <v>40</v>
      </c>
      <c r="G266" s="438">
        <f t="shared" ref="G266:G289" si="21">F266*B266</f>
        <v>0</v>
      </c>
      <c r="H266" s="121" t="s">
        <v>658</v>
      </c>
    </row>
    <row r="267" spans="1:10" s="65" customFormat="1" x14ac:dyDescent="0.25">
      <c r="A267" s="128" t="s">
        <v>555</v>
      </c>
      <c r="B267" s="2"/>
      <c r="C267" s="2" t="s">
        <v>4</v>
      </c>
      <c r="D267" s="229"/>
      <c r="E267" s="39"/>
      <c r="F267" s="364">
        <v>438</v>
      </c>
      <c r="G267" s="438">
        <f t="shared" si="21"/>
        <v>0</v>
      </c>
      <c r="H267" s="121"/>
      <c r="I267" s="192"/>
      <c r="J267" s="192"/>
    </row>
    <row r="268" spans="1:10" x14ac:dyDescent="0.25">
      <c r="A268" s="127" t="s">
        <v>556</v>
      </c>
      <c r="B268" s="58"/>
      <c r="C268" s="58" t="s">
        <v>4</v>
      </c>
      <c r="D268" s="229"/>
      <c r="E268" s="59"/>
      <c r="F268" s="364">
        <v>625</v>
      </c>
      <c r="G268" s="438">
        <f t="shared" si="21"/>
        <v>0</v>
      </c>
      <c r="H268" s="121"/>
    </row>
    <row r="269" spans="1:10" s="65" customFormat="1" x14ac:dyDescent="0.25">
      <c r="A269" s="128" t="s">
        <v>557</v>
      </c>
      <c r="B269" s="2"/>
      <c r="C269" s="2" t="s">
        <v>0</v>
      </c>
      <c r="D269" s="39"/>
      <c r="E269" s="39"/>
      <c r="F269" s="363">
        <v>263</v>
      </c>
      <c r="G269" s="438">
        <f t="shared" si="21"/>
        <v>0</v>
      </c>
      <c r="H269" s="121"/>
      <c r="I269" s="192"/>
      <c r="J269" s="192"/>
    </row>
    <row r="270" spans="1:10" x14ac:dyDescent="0.25">
      <c r="A270" s="146" t="s">
        <v>558</v>
      </c>
      <c r="B270" s="58"/>
      <c r="C270" s="58" t="s">
        <v>0</v>
      </c>
      <c r="D270" s="69"/>
      <c r="E270" s="59"/>
      <c r="F270" s="371">
        <v>8800</v>
      </c>
      <c r="G270" s="438">
        <f t="shared" si="21"/>
        <v>0</v>
      </c>
      <c r="H270" s="121"/>
    </row>
    <row r="271" spans="1:10" s="65" customFormat="1" x14ac:dyDescent="0.25">
      <c r="A271" s="146" t="s">
        <v>463</v>
      </c>
      <c r="B271" s="2"/>
      <c r="C271" s="2" t="s">
        <v>0</v>
      </c>
      <c r="D271" s="68"/>
      <c r="E271" s="39"/>
      <c r="F271" s="371">
        <v>10000</v>
      </c>
      <c r="G271" s="438">
        <f t="shared" si="21"/>
        <v>0</v>
      </c>
      <c r="H271" s="121"/>
      <c r="I271" s="192"/>
      <c r="J271" s="192"/>
    </row>
    <row r="272" spans="1:10" x14ac:dyDescent="0.25">
      <c r="A272" s="146" t="s">
        <v>419</v>
      </c>
      <c r="B272" s="58"/>
      <c r="C272" s="58" t="s">
        <v>0</v>
      </c>
      <c r="D272" s="69"/>
      <c r="E272" s="59"/>
      <c r="F272" s="371">
        <v>15000</v>
      </c>
      <c r="G272" s="438">
        <f t="shared" si="21"/>
        <v>0</v>
      </c>
      <c r="H272" s="121"/>
    </row>
    <row r="273" spans="1:10" s="65" customFormat="1" x14ac:dyDescent="0.25">
      <c r="A273" s="146" t="s">
        <v>462</v>
      </c>
      <c r="B273" s="2"/>
      <c r="C273" s="2" t="s">
        <v>0</v>
      </c>
      <c r="D273" s="68"/>
      <c r="E273" s="39"/>
      <c r="F273" s="371">
        <v>20000</v>
      </c>
      <c r="G273" s="438">
        <f t="shared" si="21"/>
        <v>0</v>
      </c>
      <c r="H273" s="121"/>
      <c r="I273" s="192"/>
      <c r="J273" s="192"/>
    </row>
    <row r="274" spans="1:10" x14ac:dyDescent="0.25">
      <c r="A274" s="146" t="s">
        <v>559</v>
      </c>
      <c r="B274" s="58"/>
      <c r="C274" s="58" t="s">
        <v>0</v>
      </c>
      <c r="D274" s="69"/>
      <c r="E274" s="59"/>
      <c r="F274" s="371">
        <v>17000</v>
      </c>
      <c r="G274" s="438">
        <f t="shared" si="21"/>
        <v>0</v>
      </c>
      <c r="H274" s="121"/>
    </row>
    <row r="275" spans="1:10" s="65" customFormat="1" x14ac:dyDescent="0.25">
      <c r="A275" s="146" t="s">
        <v>420</v>
      </c>
      <c r="B275" s="2"/>
      <c r="C275" s="2" t="s">
        <v>0</v>
      </c>
      <c r="D275" s="68"/>
      <c r="E275" s="39"/>
      <c r="F275" s="371">
        <v>20000</v>
      </c>
      <c r="G275" s="438">
        <f t="shared" si="21"/>
        <v>0</v>
      </c>
      <c r="H275" s="121"/>
      <c r="I275" s="192"/>
      <c r="J275" s="192"/>
    </row>
    <row r="276" spans="1:10" x14ac:dyDescent="0.25">
      <c r="A276" s="127" t="s">
        <v>654</v>
      </c>
      <c r="B276" s="53">
        <f>B275+B274+B273+B272+B271+B270</f>
        <v>0</v>
      </c>
      <c r="C276" s="58" t="s">
        <v>0</v>
      </c>
      <c r="D276" s="229"/>
      <c r="E276" s="59"/>
      <c r="F276" s="371">
        <v>250</v>
      </c>
      <c r="G276" s="438">
        <f t="shared" si="21"/>
        <v>0</v>
      </c>
      <c r="H276" s="121"/>
    </row>
    <row r="277" spans="1:10" s="65" customFormat="1" x14ac:dyDescent="0.25">
      <c r="A277" s="128" t="s">
        <v>655</v>
      </c>
      <c r="B277" s="53">
        <f>B275+B274+B273+B272+B271+B270</f>
        <v>0</v>
      </c>
      <c r="C277" s="46" t="s">
        <v>0</v>
      </c>
      <c r="D277" s="229"/>
      <c r="E277" s="39"/>
      <c r="F277" s="371">
        <v>350</v>
      </c>
      <c r="G277" s="438">
        <f t="shared" si="21"/>
        <v>0</v>
      </c>
      <c r="H277" s="121"/>
      <c r="I277" s="192"/>
      <c r="J277" s="192"/>
    </row>
    <row r="278" spans="1:10" s="4" customFormat="1" ht="30" x14ac:dyDescent="0.25">
      <c r="A278" s="127" t="s">
        <v>560</v>
      </c>
      <c r="B278" s="58"/>
      <c r="C278" s="62" t="s">
        <v>4</v>
      </c>
      <c r="D278" s="229"/>
      <c r="E278" s="59"/>
      <c r="F278" s="88">
        <v>900</v>
      </c>
      <c r="G278" s="438">
        <f t="shared" si="21"/>
        <v>0</v>
      </c>
      <c r="H278" s="121" t="s">
        <v>1003</v>
      </c>
      <c r="I278" s="110"/>
      <c r="J278" s="110"/>
    </row>
    <row r="279" spans="1:10" s="65" customFormat="1" x14ac:dyDescent="0.25">
      <c r="A279" s="128" t="s">
        <v>421</v>
      </c>
      <c r="B279" s="2"/>
      <c r="C279" s="46" t="s">
        <v>0</v>
      </c>
      <c r="D279" s="229"/>
      <c r="E279" s="39"/>
      <c r="F279" s="371">
        <v>570</v>
      </c>
      <c r="G279" s="438">
        <f t="shared" si="21"/>
        <v>0</v>
      </c>
      <c r="H279" s="121"/>
      <c r="I279" s="192"/>
      <c r="J279" s="192"/>
    </row>
    <row r="280" spans="1:10" x14ac:dyDescent="0.25">
      <c r="A280" s="127" t="s">
        <v>422</v>
      </c>
      <c r="B280" s="58"/>
      <c r="C280" s="62" t="s">
        <v>0</v>
      </c>
      <c r="D280" s="229"/>
      <c r="E280" s="59"/>
      <c r="F280" s="371">
        <v>850</v>
      </c>
      <c r="G280" s="438">
        <f t="shared" si="21"/>
        <v>0</v>
      </c>
      <c r="H280" s="121"/>
    </row>
    <row r="281" spans="1:10" s="65" customFormat="1" x14ac:dyDescent="0.25">
      <c r="A281" s="128" t="s">
        <v>418</v>
      </c>
      <c r="B281" s="2"/>
      <c r="C281" s="2" t="s">
        <v>0</v>
      </c>
      <c r="D281" s="39"/>
      <c r="E281" s="39"/>
      <c r="F281" s="371">
        <v>8800</v>
      </c>
      <c r="G281" s="438">
        <f t="shared" si="21"/>
        <v>0</v>
      </c>
      <c r="H281" s="121"/>
      <c r="I281" s="192"/>
      <c r="J281" s="192"/>
    </row>
    <row r="282" spans="1:10" x14ac:dyDescent="0.25">
      <c r="A282" s="127" t="s">
        <v>423</v>
      </c>
      <c r="B282" s="58"/>
      <c r="C282" s="62" t="s">
        <v>0</v>
      </c>
      <c r="D282" s="229"/>
      <c r="E282" s="59"/>
      <c r="F282" s="371">
        <v>450</v>
      </c>
      <c r="G282" s="438">
        <f t="shared" si="21"/>
        <v>0</v>
      </c>
      <c r="H282" s="121"/>
    </row>
    <row r="283" spans="1:10" s="65" customFormat="1" x14ac:dyDescent="0.25">
      <c r="A283" s="128" t="s">
        <v>424</v>
      </c>
      <c r="B283" s="2"/>
      <c r="C283" s="46" t="s">
        <v>0</v>
      </c>
      <c r="D283" s="229"/>
      <c r="E283" s="39"/>
      <c r="F283" s="371">
        <v>150</v>
      </c>
      <c r="G283" s="438">
        <f t="shared" si="21"/>
        <v>0</v>
      </c>
      <c r="H283" s="121"/>
      <c r="I283" s="192"/>
      <c r="J283" s="192"/>
    </row>
    <row r="284" spans="1:10" x14ac:dyDescent="0.25">
      <c r="A284" s="127" t="s">
        <v>425</v>
      </c>
      <c r="B284" s="58"/>
      <c r="C284" s="62" t="s">
        <v>0</v>
      </c>
      <c r="D284" s="229"/>
      <c r="E284" s="59"/>
      <c r="F284" s="371">
        <v>150</v>
      </c>
      <c r="G284" s="438">
        <f t="shared" si="21"/>
        <v>0</v>
      </c>
      <c r="H284" s="121"/>
    </row>
    <row r="285" spans="1:10" s="65" customFormat="1" x14ac:dyDescent="0.25">
      <c r="A285" s="145" t="s">
        <v>624</v>
      </c>
      <c r="B285" s="119">
        <f>B275+B274+B273+B272+B271+B270</f>
        <v>0</v>
      </c>
      <c r="C285" s="46" t="s">
        <v>0</v>
      </c>
      <c r="D285" s="231"/>
      <c r="E285" s="39"/>
      <c r="F285" s="374">
        <v>1650</v>
      </c>
      <c r="G285" s="438">
        <f t="shared" si="21"/>
        <v>0</v>
      </c>
      <c r="H285" s="121"/>
      <c r="I285" s="192"/>
      <c r="J285" s="192"/>
    </row>
    <row r="286" spans="1:10" x14ac:dyDescent="0.25">
      <c r="A286" s="127" t="s">
        <v>426</v>
      </c>
      <c r="B286" s="58"/>
      <c r="C286" s="63" t="s">
        <v>0</v>
      </c>
      <c r="D286" s="232"/>
      <c r="E286" s="58"/>
      <c r="F286" s="367">
        <v>770</v>
      </c>
      <c r="G286" s="438">
        <f t="shared" si="21"/>
        <v>0</v>
      </c>
      <c r="H286" s="121"/>
    </row>
    <row r="287" spans="1:10" s="65" customFormat="1" x14ac:dyDescent="0.25">
      <c r="A287" s="163" t="s">
        <v>710</v>
      </c>
      <c r="B287" s="35"/>
      <c r="C287" s="133" t="s">
        <v>0</v>
      </c>
      <c r="D287" s="233"/>
      <c r="E287" s="35"/>
      <c r="F287" s="377">
        <v>250</v>
      </c>
      <c r="G287" s="438">
        <f t="shared" si="21"/>
        <v>0</v>
      </c>
      <c r="H287" s="167"/>
      <c r="I287" s="192"/>
      <c r="J287" s="192"/>
    </row>
    <row r="288" spans="1:10" s="4" customFormat="1" x14ac:dyDescent="0.25">
      <c r="A288" s="162" t="s">
        <v>711</v>
      </c>
      <c r="B288" s="56"/>
      <c r="C288" s="182" t="s">
        <v>0</v>
      </c>
      <c r="D288" s="233"/>
      <c r="E288" s="56"/>
      <c r="F288" s="378">
        <v>250</v>
      </c>
      <c r="G288" s="438">
        <f t="shared" si="21"/>
        <v>0</v>
      </c>
      <c r="H288" s="121"/>
      <c r="I288" s="110"/>
      <c r="J288" s="110"/>
    </row>
    <row r="289" spans="1:13" s="65" customFormat="1" ht="15.75" thickBot="1" x14ac:dyDescent="0.3">
      <c r="A289" s="142" t="s">
        <v>656</v>
      </c>
      <c r="B289" s="143"/>
      <c r="C289" s="144" t="s">
        <v>0</v>
      </c>
      <c r="D289" s="143"/>
      <c r="E289" s="143"/>
      <c r="F289" s="396">
        <v>2600</v>
      </c>
      <c r="G289" s="440">
        <f t="shared" si="21"/>
        <v>0</v>
      </c>
      <c r="H289" s="121"/>
      <c r="I289" s="192"/>
      <c r="J289" s="192"/>
      <c r="K289" s="467" t="s">
        <v>993</v>
      </c>
      <c r="L289" s="467" t="s">
        <v>994</v>
      </c>
      <c r="M289" s="467" t="s">
        <v>996</v>
      </c>
    </row>
    <row r="290" spans="1:13" ht="15.75" thickBot="1" x14ac:dyDescent="0.3">
      <c r="A290" s="545" t="s">
        <v>442</v>
      </c>
      <c r="B290" s="546"/>
      <c r="C290" s="546"/>
      <c r="D290" s="546"/>
      <c r="E290" s="546"/>
      <c r="F290" s="546"/>
      <c r="G290" s="546"/>
      <c r="H290" s="113"/>
      <c r="K290" s="466" t="s">
        <v>998</v>
      </c>
      <c r="L290" s="466" t="s">
        <v>1000</v>
      </c>
      <c r="M290" s="466" t="s">
        <v>1006</v>
      </c>
    </row>
    <row r="291" spans="1:13" s="65" customFormat="1" ht="14.25" customHeight="1" x14ac:dyDescent="0.25">
      <c r="A291" s="100" t="s">
        <v>488</v>
      </c>
      <c r="B291" s="2">
        <v>0</v>
      </c>
      <c r="C291" s="46" t="s">
        <v>0</v>
      </c>
      <c r="D291" s="2"/>
      <c r="E291" s="39"/>
      <c r="F291" s="379"/>
      <c r="G291" s="38">
        <f>F291*B291</f>
        <v>0</v>
      </c>
      <c r="H291" s="113"/>
      <c r="I291" s="192"/>
      <c r="J291" s="192"/>
      <c r="K291" s="466" t="s">
        <v>999</v>
      </c>
      <c r="L291" s="466" t="s">
        <v>1001</v>
      </c>
      <c r="M291" s="466" t="s">
        <v>1007</v>
      </c>
    </row>
    <row r="292" spans="1:13" s="4" customFormat="1" ht="14.25" customHeight="1" x14ac:dyDescent="0.25">
      <c r="A292" s="99" t="s">
        <v>1011</v>
      </c>
      <c r="B292" s="58">
        <v>0</v>
      </c>
      <c r="C292" s="62" t="s">
        <v>0</v>
      </c>
      <c r="D292" s="58"/>
      <c r="E292" s="59"/>
      <c r="F292" s="379"/>
      <c r="G292" s="38">
        <f t="shared" ref="G292:G299" si="22">F292*B292</f>
        <v>0</v>
      </c>
      <c r="H292" s="113"/>
      <c r="I292" s="110"/>
      <c r="J292" s="110"/>
      <c r="K292" s="466"/>
      <c r="L292" s="466" t="s">
        <v>1002</v>
      </c>
      <c r="M292" s="466" t="s">
        <v>1008</v>
      </c>
    </row>
    <row r="293" spans="1:13" s="65" customFormat="1" ht="14.25" customHeight="1" x14ac:dyDescent="0.25">
      <c r="A293" s="100" t="s">
        <v>1012</v>
      </c>
      <c r="B293" s="2">
        <v>0</v>
      </c>
      <c r="C293" s="46" t="s">
        <v>0</v>
      </c>
      <c r="D293" s="2"/>
      <c r="E293" s="39"/>
      <c r="F293" s="379"/>
      <c r="G293" s="38">
        <f t="shared" si="22"/>
        <v>0</v>
      </c>
      <c r="H293" s="113"/>
      <c r="I293" s="192"/>
      <c r="J293" s="192"/>
    </row>
    <row r="294" spans="1:13" s="4" customFormat="1" ht="14.25" customHeight="1" x14ac:dyDescent="0.25">
      <c r="A294" s="99"/>
      <c r="B294" s="58"/>
      <c r="C294" s="62"/>
      <c r="D294" s="58"/>
      <c r="E294" s="59"/>
      <c r="F294" s="379"/>
      <c r="G294" s="38">
        <f t="shared" si="22"/>
        <v>0</v>
      </c>
      <c r="H294" s="113"/>
      <c r="I294" s="110"/>
      <c r="J294" s="110"/>
    </row>
    <row r="295" spans="1:13" s="65" customFormat="1" ht="14.25" customHeight="1" x14ac:dyDescent="0.25">
      <c r="A295" s="100"/>
      <c r="B295" s="2"/>
      <c r="C295" s="46"/>
      <c r="D295" s="2"/>
      <c r="E295" s="39"/>
      <c r="F295" s="379"/>
      <c r="G295" s="38">
        <f t="shared" si="22"/>
        <v>0</v>
      </c>
      <c r="H295" s="113"/>
      <c r="I295" s="192"/>
      <c r="J295" s="192"/>
    </row>
    <row r="296" spans="1:13" s="4" customFormat="1" ht="14.25" customHeight="1" x14ac:dyDescent="0.25">
      <c r="A296" s="99"/>
      <c r="B296" s="58"/>
      <c r="C296" s="62"/>
      <c r="D296" s="58"/>
      <c r="E296" s="59"/>
      <c r="F296" s="379"/>
      <c r="G296" s="38">
        <f t="shared" si="22"/>
        <v>0</v>
      </c>
      <c r="H296" s="113"/>
      <c r="I296" s="110"/>
      <c r="J296" s="110"/>
    </row>
    <row r="297" spans="1:13" s="65" customFormat="1" ht="14.25" customHeight="1" x14ac:dyDescent="0.25">
      <c r="A297" s="100"/>
      <c r="B297" s="2"/>
      <c r="C297" s="46"/>
      <c r="D297" s="2"/>
      <c r="E297" s="39"/>
      <c r="F297" s="379"/>
      <c r="G297" s="38">
        <f t="shared" si="22"/>
        <v>0</v>
      </c>
      <c r="H297" s="113"/>
      <c r="I297" s="192"/>
      <c r="J297" s="192"/>
    </row>
    <row r="298" spans="1:13" s="4" customFormat="1" ht="14.25" customHeight="1" x14ac:dyDescent="0.25">
      <c r="A298" s="99"/>
      <c r="B298" s="58"/>
      <c r="C298" s="62"/>
      <c r="D298" s="58"/>
      <c r="E298" s="59"/>
      <c r="F298" s="379"/>
      <c r="G298" s="38">
        <f t="shared" si="22"/>
        <v>0</v>
      </c>
      <c r="H298" s="113"/>
      <c r="I298" s="110"/>
      <c r="J298" s="110"/>
    </row>
    <row r="299" spans="1:13" s="65" customFormat="1" ht="14.25" customHeight="1" thickBot="1" x14ac:dyDescent="0.3">
      <c r="A299" s="100"/>
      <c r="B299" s="2"/>
      <c r="C299" s="46"/>
      <c r="D299" s="2"/>
      <c r="E299" s="39"/>
      <c r="F299" s="379"/>
      <c r="G299" s="38">
        <f t="shared" si="22"/>
        <v>0</v>
      </c>
      <c r="H299" s="113"/>
      <c r="I299" s="192"/>
      <c r="J299" s="192"/>
    </row>
    <row r="300" spans="1:13" s="4" customFormat="1" ht="14.25" customHeight="1" thickBot="1" x14ac:dyDescent="0.3">
      <c r="A300" s="525" t="s">
        <v>648</v>
      </c>
      <c r="B300" s="526"/>
      <c r="C300" s="526"/>
      <c r="D300" s="526"/>
      <c r="E300" s="526"/>
      <c r="F300" s="526"/>
      <c r="G300" s="526"/>
      <c r="H300" s="113"/>
      <c r="I300" s="110"/>
      <c r="J300" s="110"/>
    </row>
    <row r="301" spans="1:13" s="4" customFormat="1" ht="15.75" thickBot="1" x14ac:dyDescent="0.3">
      <c r="A301" s="461" t="s">
        <v>659</v>
      </c>
      <c r="B301" s="462">
        <f>SUM(D303:D324)</f>
        <v>334.32</v>
      </c>
      <c r="C301" s="463" t="s">
        <v>4</v>
      </c>
      <c r="D301" s="463"/>
      <c r="E301" s="463"/>
      <c r="F301" s="464"/>
      <c r="G301" s="465">
        <f>B301*F301</f>
        <v>0</v>
      </c>
      <c r="H301" s="459" t="s">
        <v>660</v>
      </c>
      <c r="I301" s="110"/>
      <c r="J301" s="110"/>
    </row>
    <row r="302" spans="1:13" s="4" customFormat="1" ht="39" thickBot="1" x14ac:dyDescent="0.3">
      <c r="A302" s="460" t="s">
        <v>717</v>
      </c>
      <c r="B302" s="470" t="s">
        <v>407</v>
      </c>
      <c r="C302" s="480" t="s">
        <v>992</v>
      </c>
      <c r="D302" s="481" t="s">
        <v>991</v>
      </c>
      <c r="E302" s="481" t="s">
        <v>997</v>
      </c>
      <c r="F302" s="481" t="s">
        <v>993</v>
      </c>
      <c r="G302" s="481" t="s">
        <v>994</v>
      </c>
      <c r="H302" s="482" t="s">
        <v>995</v>
      </c>
      <c r="I302" s="471" t="s">
        <v>996</v>
      </c>
      <c r="J302" s="471" t="s">
        <v>1009</v>
      </c>
      <c r="K302" s="190"/>
      <c r="L302" s="484"/>
    </row>
    <row r="303" spans="1:13" ht="15.75" thickBot="1" x14ac:dyDescent="0.3">
      <c r="A303" s="155" t="s">
        <v>1051</v>
      </c>
      <c r="B303" s="124">
        <v>95</v>
      </c>
      <c r="C303" s="485" t="str">
        <f t="shared" ref="C303:C324" si="23">VLOOKUP(A303,$A$4:$G$301,3,0)</f>
        <v>м2</v>
      </c>
      <c r="D303" s="123">
        <v>95</v>
      </c>
      <c r="E303" s="124">
        <v>190</v>
      </c>
      <c r="F303" s="123" t="s">
        <v>998</v>
      </c>
      <c r="G303" s="123" t="s">
        <v>1000</v>
      </c>
      <c r="H303" s="271">
        <v>1804</v>
      </c>
      <c r="I303" s="238" t="s">
        <v>1006</v>
      </c>
      <c r="J303" s="483"/>
      <c r="K303" s="468"/>
      <c r="L303" s="468"/>
    </row>
    <row r="304" spans="1:13" ht="15.75" thickBot="1" x14ac:dyDescent="0.3">
      <c r="A304" s="494" t="s">
        <v>1051</v>
      </c>
      <c r="B304" s="124">
        <v>46</v>
      </c>
      <c r="C304" s="485" t="str">
        <f t="shared" si="23"/>
        <v>м2</v>
      </c>
      <c r="D304" s="2">
        <v>46</v>
      </c>
      <c r="E304" s="39">
        <v>92</v>
      </c>
      <c r="F304" s="2" t="s">
        <v>998</v>
      </c>
      <c r="G304" s="2" t="s">
        <v>1000</v>
      </c>
      <c r="H304" s="270" t="s">
        <v>1047</v>
      </c>
      <c r="I304" s="270" t="s">
        <v>1006</v>
      </c>
      <c r="J304" s="314"/>
      <c r="K304" s="468"/>
      <c r="L304" s="468"/>
    </row>
    <row r="305" spans="1:12" ht="15.75" thickBot="1" x14ac:dyDescent="0.3">
      <c r="A305" s="147" t="s">
        <v>1043</v>
      </c>
      <c r="B305" s="124">
        <f>VLOOKUP(A305,$A$4:$G$301,2,0)</f>
        <v>99</v>
      </c>
      <c r="C305" s="485" t="str">
        <f>VLOOKUP(A305,$A$4:$G$301,3,0)</f>
        <v>м2</v>
      </c>
      <c r="D305" s="2">
        <v>99</v>
      </c>
      <c r="E305" s="39">
        <v>198</v>
      </c>
      <c r="F305" s="2" t="s">
        <v>998</v>
      </c>
      <c r="G305" s="2" t="s">
        <v>1000</v>
      </c>
      <c r="H305" s="270" t="s">
        <v>1047</v>
      </c>
      <c r="I305" s="270" t="s">
        <v>1006</v>
      </c>
      <c r="J305" s="314"/>
      <c r="K305" s="468"/>
      <c r="L305" s="468"/>
    </row>
    <row r="306" spans="1:12" ht="15.75" thickBot="1" x14ac:dyDescent="0.3">
      <c r="A306" s="147" t="s">
        <v>499</v>
      </c>
      <c r="B306" s="124">
        <v>36</v>
      </c>
      <c r="C306" s="485" t="s">
        <v>4</v>
      </c>
      <c r="D306" s="2">
        <v>36</v>
      </c>
      <c r="E306" s="39">
        <v>72</v>
      </c>
      <c r="F306" s="2" t="s">
        <v>998</v>
      </c>
      <c r="G306" s="2" t="s">
        <v>1000</v>
      </c>
      <c r="H306" s="270">
        <v>1804</v>
      </c>
      <c r="I306" s="270" t="s">
        <v>1006</v>
      </c>
      <c r="J306" s="314"/>
      <c r="K306" s="468"/>
      <c r="L306" s="468"/>
    </row>
    <row r="307" spans="1:12" ht="15.75" thickBot="1" x14ac:dyDescent="0.3">
      <c r="A307" s="147" t="s">
        <v>1038</v>
      </c>
      <c r="B307" s="124">
        <v>27</v>
      </c>
      <c r="C307" s="485" t="str">
        <f t="shared" ref="C307:C309" si="24">VLOOKUP(A307,$A$4:$G$301,3,0)</f>
        <v>шт</v>
      </c>
      <c r="D307" s="2">
        <v>58.32</v>
      </c>
      <c r="E307" s="39">
        <v>116.64</v>
      </c>
      <c r="F307" s="2" t="s">
        <v>998</v>
      </c>
      <c r="G307" s="2" t="s">
        <v>1000</v>
      </c>
      <c r="H307" s="270" t="s">
        <v>1047</v>
      </c>
      <c r="I307" s="270" t="s">
        <v>1006</v>
      </c>
      <c r="J307" s="314"/>
      <c r="K307" s="468"/>
      <c r="L307" s="468"/>
    </row>
    <row r="308" spans="1:12" ht="15.75" thickBot="1" x14ac:dyDescent="0.3">
      <c r="A308" s="147"/>
      <c r="B308" s="124" t="e">
        <f t="shared" ref="B308:B309" si="25">VLOOKUP(A308,$A$4:$G$301,2,0)</f>
        <v>#N/A</v>
      </c>
      <c r="C308" s="485" t="e">
        <f t="shared" si="24"/>
        <v>#N/A</v>
      </c>
      <c r="D308" s="2"/>
      <c r="E308" s="39"/>
      <c r="F308" s="2" t="s">
        <v>998</v>
      </c>
      <c r="G308" s="2" t="s">
        <v>1000</v>
      </c>
      <c r="H308" s="270"/>
      <c r="I308" s="270"/>
      <c r="J308" s="314"/>
      <c r="K308" s="468"/>
      <c r="L308" s="468"/>
    </row>
    <row r="309" spans="1:12" ht="15.75" thickBot="1" x14ac:dyDescent="0.3">
      <c r="A309" s="147"/>
      <c r="B309" s="124" t="e">
        <f t="shared" si="25"/>
        <v>#N/A</v>
      </c>
      <c r="C309" s="485" t="e">
        <f t="shared" si="24"/>
        <v>#N/A</v>
      </c>
      <c r="D309" s="2"/>
      <c r="E309" s="39"/>
      <c r="F309" s="2" t="s">
        <v>998</v>
      </c>
      <c r="G309" s="2" t="s">
        <v>1000</v>
      </c>
      <c r="H309" s="270"/>
      <c r="I309" s="270"/>
      <c r="J309" s="314"/>
      <c r="K309" s="468"/>
      <c r="L309" s="468"/>
    </row>
    <row r="310" spans="1:12" ht="15.75" thickBot="1" x14ac:dyDescent="0.3">
      <c r="A310" s="147"/>
      <c r="B310" s="124" t="e">
        <f t="shared" ref="B310:B324" si="26">VLOOKUP(A310,$A$4:$G$301,2,0)</f>
        <v>#N/A</v>
      </c>
      <c r="C310" s="485" t="e">
        <f t="shared" si="23"/>
        <v>#N/A</v>
      </c>
      <c r="D310" s="2"/>
      <c r="E310" s="39"/>
      <c r="F310" s="2" t="s">
        <v>998</v>
      </c>
      <c r="G310" s="2" t="s">
        <v>1000</v>
      </c>
      <c r="H310" s="270"/>
      <c r="I310" s="270"/>
      <c r="J310" s="314"/>
      <c r="K310" s="468"/>
      <c r="L310" s="468"/>
    </row>
    <row r="311" spans="1:12" ht="15.75" thickBot="1" x14ac:dyDescent="0.3">
      <c r="A311" s="147"/>
      <c r="B311" s="124" t="e">
        <f t="shared" si="26"/>
        <v>#N/A</v>
      </c>
      <c r="C311" s="485" t="e">
        <f t="shared" si="23"/>
        <v>#N/A</v>
      </c>
      <c r="D311" s="2"/>
      <c r="E311" s="39"/>
      <c r="F311" s="2" t="s">
        <v>998</v>
      </c>
      <c r="G311" s="2" t="s">
        <v>1000</v>
      </c>
      <c r="H311" s="270"/>
      <c r="I311" s="270"/>
      <c r="J311" s="314"/>
      <c r="K311" s="468"/>
      <c r="L311" s="468"/>
    </row>
    <row r="312" spans="1:12" ht="15.75" thickBot="1" x14ac:dyDescent="0.3">
      <c r="A312" s="147"/>
      <c r="B312" s="124" t="e">
        <f t="shared" si="26"/>
        <v>#N/A</v>
      </c>
      <c r="C312" s="485" t="e">
        <f t="shared" si="23"/>
        <v>#N/A</v>
      </c>
      <c r="D312" s="2"/>
      <c r="E312" s="39"/>
      <c r="F312" s="2" t="s">
        <v>998</v>
      </c>
      <c r="G312" s="2" t="s">
        <v>1000</v>
      </c>
      <c r="H312" s="270"/>
      <c r="I312" s="270"/>
      <c r="J312" s="314"/>
      <c r="K312" s="468"/>
      <c r="L312" s="468"/>
    </row>
    <row r="313" spans="1:12" ht="15.75" thickBot="1" x14ac:dyDescent="0.3">
      <c r="A313" s="147"/>
      <c r="B313" s="124" t="e">
        <f t="shared" si="26"/>
        <v>#N/A</v>
      </c>
      <c r="C313" s="485" t="e">
        <f t="shared" si="23"/>
        <v>#N/A</v>
      </c>
      <c r="D313" s="2"/>
      <c r="E313" s="39"/>
      <c r="F313" s="2" t="s">
        <v>998</v>
      </c>
      <c r="G313" s="2" t="s">
        <v>1000</v>
      </c>
      <c r="H313" s="270"/>
      <c r="I313" s="270"/>
      <c r="J313" s="314"/>
      <c r="K313" s="468"/>
      <c r="L313" s="468"/>
    </row>
    <row r="314" spans="1:12" ht="15.75" thickBot="1" x14ac:dyDescent="0.3">
      <c r="A314" s="147"/>
      <c r="B314" s="124" t="e">
        <f t="shared" si="26"/>
        <v>#N/A</v>
      </c>
      <c r="C314" s="485" t="e">
        <f t="shared" si="23"/>
        <v>#N/A</v>
      </c>
      <c r="D314" s="2"/>
      <c r="E314" s="39"/>
      <c r="F314" s="2" t="s">
        <v>998</v>
      </c>
      <c r="G314" s="2" t="s">
        <v>1000</v>
      </c>
      <c r="H314" s="270"/>
      <c r="I314" s="270"/>
      <c r="J314" s="314"/>
      <c r="K314" s="468"/>
      <c r="L314" s="468"/>
    </row>
    <row r="315" spans="1:12" ht="15.75" thickBot="1" x14ac:dyDescent="0.3">
      <c r="A315" s="147"/>
      <c r="B315" s="124" t="e">
        <f t="shared" si="26"/>
        <v>#N/A</v>
      </c>
      <c r="C315" s="485" t="e">
        <f t="shared" si="23"/>
        <v>#N/A</v>
      </c>
      <c r="D315" s="2"/>
      <c r="E315" s="39"/>
      <c r="F315" s="2" t="s">
        <v>998</v>
      </c>
      <c r="G315" s="2" t="s">
        <v>1000</v>
      </c>
      <c r="H315" s="270"/>
      <c r="I315" s="270"/>
      <c r="J315" s="314"/>
      <c r="K315" s="468"/>
      <c r="L315" s="468"/>
    </row>
    <row r="316" spans="1:12" ht="15.75" thickBot="1" x14ac:dyDescent="0.3">
      <c r="A316" s="147"/>
      <c r="B316" s="124" t="e">
        <f t="shared" si="26"/>
        <v>#N/A</v>
      </c>
      <c r="C316" s="485" t="e">
        <f t="shared" si="23"/>
        <v>#N/A</v>
      </c>
      <c r="D316" s="2"/>
      <c r="E316" s="39"/>
      <c r="F316" s="2" t="s">
        <v>998</v>
      </c>
      <c r="G316" s="2" t="s">
        <v>1000</v>
      </c>
      <c r="H316" s="270"/>
      <c r="I316" s="270"/>
      <c r="J316" s="314"/>
      <c r="K316" s="468"/>
      <c r="L316" s="468"/>
    </row>
    <row r="317" spans="1:12" ht="15.75" thickBot="1" x14ac:dyDescent="0.3">
      <c r="A317" s="147"/>
      <c r="B317" s="124" t="e">
        <f t="shared" si="26"/>
        <v>#N/A</v>
      </c>
      <c r="C317" s="485" t="e">
        <f t="shared" si="23"/>
        <v>#N/A</v>
      </c>
      <c r="D317" s="2"/>
      <c r="E317" s="39"/>
      <c r="F317" s="2" t="s">
        <v>998</v>
      </c>
      <c r="G317" s="2" t="s">
        <v>1000</v>
      </c>
      <c r="H317" s="270"/>
      <c r="I317" s="270"/>
      <c r="J317" s="314"/>
      <c r="K317" s="468"/>
      <c r="L317" s="468"/>
    </row>
    <row r="318" spans="1:12" ht="15.75" thickBot="1" x14ac:dyDescent="0.3">
      <c r="A318" s="147"/>
      <c r="B318" s="124" t="e">
        <f t="shared" si="26"/>
        <v>#N/A</v>
      </c>
      <c r="C318" s="485" t="e">
        <f t="shared" si="23"/>
        <v>#N/A</v>
      </c>
      <c r="D318" s="2"/>
      <c r="E318" s="39"/>
      <c r="F318" s="2" t="s">
        <v>998</v>
      </c>
      <c r="G318" s="2" t="s">
        <v>1000</v>
      </c>
      <c r="H318" s="270"/>
      <c r="I318" s="270"/>
      <c r="J318" s="314"/>
      <c r="K318" s="468"/>
      <c r="L318" s="468"/>
    </row>
    <row r="319" spans="1:12" ht="15.75" thickBot="1" x14ac:dyDescent="0.3">
      <c r="A319" s="147"/>
      <c r="B319" s="124" t="e">
        <f t="shared" si="26"/>
        <v>#N/A</v>
      </c>
      <c r="C319" s="485" t="e">
        <f t="shared" si="23"/>
        <v>#N/A</v>
      </c>
      <c r="D319" s="2"/>
      <c r="E319" s="39"/>
      <c r="F319" s="2" t="s">
        <v>998</v>
      </c>
      <c r="G319" s="2" t="s">
        <v>1000</v>
      </c>
      <c r="H319" s="270"/>
      <c r="I319" s="270"/>
      <c r="J319" s="314"/>
      <c r="K319" s="468"/>
      <c r="L319" s="468"/>
    </row>
    <row r="320" spans="1:12" ht="15.75" thickBot="1" x14ac:dyDescent="0.3">
      <c r="A320" s="147"/>
      <c r="B320" s="124" t="e">
        <f t="shared" si="26"/>
        <v>#N/A</v>
      </c>
      <c r="C320" s="485" t="e">
        <f t="shared" si="23"/>
        <v>#N/A</v>
      </c>
      <c r="D320" s="2"/>
      <c r="E320" s="39"/>
      <c r="F320" s="2" t="s">
        <v>998</v>
      </c>
      <c r="G320" s="2" t="s">
        <v>1000</v>
      </c>
      <c r="H320" s="270"/>
      <c r="I320" s="270"/>
      <c r="J320" s="314"/>
      <c r="K320" s="468"/>
      <c r="L320" s="468"/>
    </row>
    <row r="321" spans="1:12" ht="15.75" thickBot="1" x14ac:dyDescent="0.3">
      <c r="A321" s="147"/>
      <c r="B321" s="124" t="e">
        <f t="shared" si="26"/>
        <v>#N/A</v>
      </c>
      <c r="C321" s="485" t="e">
        <f t="shared" si="23"/>
        <v>#N/A</v>
      </c>
      <c r="D321" s="2"/>
      <c r="E321" s="39"/>
      <c r="F321" s="2" t="s">
        <v>998</v>
      </c>
      <c r="G321" s="2" t="s">
        <v>1000</v>
      </c>
      <c r="H321" s="270"/>
      <c r="I321" s="270"/>
      <c r="J321" s="314"/>
      <c r="K321" s="468"/>
      <c r="L321" s="468"/>
    </row>
    <row r="322" spans="1:12" ht="15.75" thickBot="1" x14ac:dyDescent="0.3">
      <c r="A322" s="147"/>
      <c r="B322" s="124" t="e">
        <f t="shared" si="26"/>
        <v>#N/A</v>
      </c>
      <c r="C322" s="485" t="e">
        <f t="shared" si="23"/>
        <v>#N/A</v>
      </c>
      <c r="D322" s="2"/>
      <c r="E322" s="39"/>
      <c r="F322" s="2" t="s">
        <v>998</v>
      </c>
      <c r="G322" s="2" t="s">
        <v>1000</v>
      </c>
      <c r="H322" s="270"/>
      <c r="I322" s="270"/>
      <c r="J322" s="314"/>
      <c r="K322" s="468"/>
      <c r="L322" s="468"/>
    </row>
    <row r="323" spans="1:12" ht="15.75" thickBot="1" x14ac:dyDescent="0.3">
      <c r="A323" s="147"/>
      <c r="B323" s="124" t="e">
        <f t="shared" si="26"/>
        <v>#N/A</v>
      </c>
      <c r="C323" s="485" t="e">
        <f t="shared" si="23"/>
        <v>#N/A</v>
      </c>
      <c r="D323" s="2"/>
      <c r="E323" s="39"/>
      <c r="F323" s="2" t="s">
        <v>998</v>
      </c>
      <c r="G323" s="2" t="s">
        <v>1000</v>
      </c>
      <c r="H323" s="270"/>
      <c r="I323" s="270"/>
      <c r="J323" s="314"/>
      <c r="K323" s="468"/>
      <c r="L323" s="468"/>
    </row>
    <row r="324" spans="1:12" x14ac:dyDescent="0.25">
      <c r="A324" s="147"/>
      <c r="B324" s="124" t="e">
        <f t="shared" si="26"/>
        <v>#N/A</v>
      </c>
      <c r="C324" s="485" t="e">
        <f t="shared" si="23"/>
        <v>#N/A</v>
      </c>
      <c r="D324" s="2"/>
      <c r="E324" s="39"/>
      <c r="F324" s="2" t="s">
        <v>998</v>
      </c>
      <c r="G324" s="2" t="s">
        <v>1000</v>
      </c>
      <c r="H324" s="270"/>
      <c r="I324" s="270"/>
      <c r="J324" s="314"/>
      <c r="K324" s="468"/>
      <c r="L324" s="468"/>
    </row>
    <row r="325" spans="1:12" ht="15.75" thickBot="1" x14ac:dyDescent="0.3">
      <c r="A325" s="142" t="s">
        <v>440</v>
      </c>
      <c r="B325" s="148"/>
      <c r="C325" s="486"/>
      <c r="D325" s="143"/>
      <c r="E325" s="148">
        <f>SUM(E291:E324,E265:E286,E255:E263,E238:E253,E227:E233,E176:E208,E168:E173,E151:E166,E119:E149,E108:E114,E56:E118,E6:E30)</f>
        <v>672.3768</v>
      </c>
      <c r="F325" s="143"/>
      <c r="G325" s="143"/>
      <c r="H325" s="273"/>
      <c r="I325" s="273"/>
      <c r="J325" s="315"/>
      <c r="K325" s="468"/>
      <c r="L325" s="468"/>
    </row>
    <row r="326" spans="1:12" x14ac:dyDescent="0.25">
      <c r="A326" s="52"/>
      <c r="B326" s="22"/>
      <c r="C326" s="22"/>
      <c r="D326" s="22"/>
      <c r="E326" s="22"/>
      <c r="F326" s="51" t="s">
        <v>446</v>
      </c>
      <c r="G326" s="55">
        <f>G325*0.001</f>
        <v>0</v>
      </c>
      <c r="H326" s="189" t="s">
        <v>447</v>
      </c>
    </row>
    <row r="327" spans="1:12" x14ac:dyDescent="0.25">
      <c r="A327" s="52"/>
      <c r="B327" s="22"/>
      <c r="C327" s="22"/>
      <c r="D327" s="22"/>
      <c r="E327" s="22"/>
      <c r="F327" s="22"/>
      <c r="G327" s="55"/>
    </row>
    <row r="328" spans="1:12" ht="15.75" thickBot="1" x14ac:dyDescent="0.3">
      <c r="A328" s="52"/>
      <c r="B328" s="22"/>
      <c r="C328" s="22"/>
      <c r="D328" s="22"/>
      <c r="E328" s="22"/>
      <c r="F328" s="47"/>
      <c r="G328" s="17"/>
      <c r="H328" s="112"/>
    </row>
    <row r="329" spans="1:12" ht="15.75" thickBot="1" x14ac:dyDescent="0.3">
      <c r="A329" s="527" t="s">
        <v>433</v>
      </c>
      <c r="B329" s="528"/>
      <c r="C329" s="528"/>
      <c r="D329" s="528"/>
      <c r="E329" s="529"/>
      <c r="F329" s="67"/>
      <c r="G329" s="67"/>
      <c r="H329" s="537" t="s">
        <v>828</v>
      </c>
      <c r="I329" s="538"/>
      <c r="J329" s="538"/>
      <c r="K329" s="539"/>
    </row>
    <row r="330" spans="1:12" x14ac:dyDescent="0.25">
      <c r="A330" s="98" t="s">
        <v>434</v>
      </c>
      <c r="B330" s="50">
        <v>1</v>
      </c>
      <c r="C330" s="34" t="s">
        <v>5</v>
      </c>
      <c r="D330" s="34">
        <v>15000</v>
      </c>
      <c r="E330" s="33">
        <f t="shared" ref="E330:E333" si="27">B330*D330</f>
        <v>15000</v>
      </c>
      <c r="F330" s="12"/>
      <c r="G330" s="16"/>
      <c r="H330" s="490" t="s">
        <v>444</v>
      </c>
      <c r="I330" s="490" t="s">
        <v>407</v>
      </c>
      <c r="J330" s="490" t="s">
        <v>1019</v>
      </c>
      <c r="K330" s="238" t="s">
        <v>1017</v>
      </c>
    </row>
    <row r="331" spans="1:12" x14ac:dyDescent="0.25">
      <c r="A331" s="100" t="s">
        <v>458</v>
      </c>
      <c r="B331" s="3">
        <v>1</v>
      </c>
      <c r="C331" s="2" t="s">
        <v>5</v>
      </c>
      <c r="D331" s="37">
        <v>7000</v>
      </c>
      <c r="E331" s="49">
        <f t="shared" si="27"/>
        <v>7000</v>
      </c>
      <c r="F331" s="12"/>
      <c r="G331" s="16"/>
      <c r="H331" s="86" t="s">
        <v>1018</v>
      </c>
      <c r="I331" s="86"/>
      <c r="J331" s="86">
        <f>ROUNDUP(I331/2.2,0)</f>
        <v>0</v>
      </c>
      <c r="K331" s="70">
        <f>ROUNDUP(0.066*J331,2)</f>
        <v>0</v>
      </c>
    </row>
    <row r="332" spans="1:12" x14ac:dyDescent="0.25">
      <c r="A332" s="70" t="s">
        <v>448</v>
      </c>
      <c r="B332" s="49">
        <v>1</v>
      </c>
      <c r="C332" s="49" t="s">
        <v>5</v>
      </c>
      <c r="D332" s="49">
        <f>B1*0.03</f>
        <v>0</v>
      </c>
      <c r="E332" s="49">
        <f t="shared" si="27"/>
        <v>0</v>
      </c>
      <c r="F332" s="12"/>
      <c r="G332" s="16"/>
      <c r="H332" s="86" t="s">
        <v>1020</v>
      </c>
      <c r="I332" s="86"/>
      <c r="J332" s="86"/>
      <c r="K332" s="70">
        <f>ROUNDUP(0.11*6*I332,2)</f>
        <v>0</v>
      </c>
    </row>
    <row r="333" spans="1:12" x14ac:dyDescent="0.25">
      <c r="A333" s="70" t="s">
        <v>455</v>
      </c>
      <c r="B333" s="49">
        <v>1</v>
      </c>
      <c r="C333" s="49" t="s">
        <v>5</v>
      </c>
      <c r="D333" s="49">
        <v>15000</v>
      </c>
      <c r="E333" s="49">
        <f t="shared" si="27"/>
        <v>15000</v>
      </c>
      <c r="F333" s="12"/>
      <c r="G333" s="16"/>
      <c r="H333" s="86" t="s">
        <v>1021</v>
      </c>
      <c r="I333" s="86">
        <v>30</v>
      </c>
      <c r="J333" s="86">
        <f>ROUNDUP(I333/3,2)</f>
        <v>10</v>
      </c>
      <c r="K333" s="70">
        <f>ROUNDUP(0.11*3*J333,2)</f>
        <v>3.3</v>
      </c>
    </row>
    <row r="334" spans="1:12" s="4" customFormat="1" x14ac:dyDescent="0.25">
      <c r="A334" s="70" t="s">
        <v>456</v>
      </c>
      <c r="B334" s="49">
        <v>1</v>
      </c>
      <c r="C334" s="49" t="s">
        <v>5</v>
      </c>
      <c r="D334" s="49">
        <v>10000</v>
      </c>
      <c r="E334" s="49">
        <f t="shared" ref="E334" si="28">B334*D334</f>
        <v>10000</v>
      </c>
      <c r="F334" s="12"/>
      <c r="G334" s="16"/>
      <c r="H334" s="86" t="s">
        <v>1022</v>
      </c>
      <c r="I334" s="86"/>
      <c r="J334" s="86"/>
      <c r="K334" s="70">
        <f>ROUNDUP(0.6*6*I334,2)</f>
        <v>0</v>
      </c>
    </row>
    <row r="335" spans="1:12" s="4" customFormat="1" x14ac:dyDescent="0.25">
      <c r="A335" s="70" t="s">
        <v>457</v>
      </c>
      <c r="B335" s="49">
        <v>1</v>
      </c>
      <c r="C335" s="49" t="s">
        <v>5</v>
      </c>
      <c r="D335" s="49">
        <v>10000</v>
      </c>
      <c r="E335" s="49">
        <f t="shared" ref="E335" si="29">B335*D335</f>
        <v>10000</v>
      </c>
      <c r="F335" s="12"/>
      <c r="G335" s="16"/>
      <c r="H335" s="86" t="s">
        <v>1023</v>
      </c>
      <c r="I335" s="86"/>
      <c r="J335" s="86"/>
      <c r="K335" s="70">
        <f>ROUNDUP(0.4*6*I335,2)</f>
        <v>0</v>
      </c>
    </row>
    <row r="336" spans="1:12" s="4" customFormat="1" x14ac:dyDescent="0.25">
      <c r="A336" s="70" t="s">
        <v>449</v>
      </c>
      <c r="B336" s="49">
        <v>1</v>
      </c>
      <c r="C336" s="49" t="s">
        <v>5</v>
      </c>
      <c r="D336" s="49">
        <v>15000</v>
      </c>
      <c r="E336" s="49">
        <f>B336*D336</f>
        <v>15000</v>
      </c>
      <c r="F336" s="12"/>
      <c r="G336" s="16"/>
      <c r="H336" s="86" t="s">
        <v>1024</v>
      </c>
      <c r="I336" s="86"/>
      <c r="J336" s="86"/>
      <c r="K336" s="70">
        <f>ROUNDUP(0.18*3*I336,2)</f>
        <v>0</v>
      </c>
    </row>
    <row r="337" spans="1:11" x14ac:dyDescent="0.25">
      <c r="A337" s="70" t="s">
        <v>438</v>
      </c>
      <c r="B337" s="49">
        <v>1</v>
      </c>
      <c r="C337" s="49" t="s">
        <v>5</v>
      </c>
      <c r="D337" s="49">
        <f>B1*0.02</f>
        <v>0</v>
      </c>
      <c r="E337" s="49">
        <f>B337*D337</f>
        <v>0</v>
      </c>
      <c r="F337" s="12"/>
      <c r="G337" s="16"/>
      <c r="H337" s="86" t="s">
        <v>550</v>
      </c>
      <c r="I337" s="86">
        <v>61</v>
      </c>
      <c r="J337" s="86"/>
      <c r="K337" s="70">
        <f>I337*0.035</f>
        <v>2.1350000000000002</v>
      </c>
    </row>
    <row r="338" spans="1:11" s="4" customFormat="1" x14ac:dyDescent="0.25">
      <c r="A338" s="70" t="s">
        <v>450</v>
      </c>
      <c r="B338" s="49">
        <v>1</v>
      </c>
      <c r="C338" s="49" t="s">
        <v>5</v>
      </c>
      <c r="D338" s="49">
        <f>B1-E325-E330-E331-E332-E333-E336-E337-E339</f>
        <v>-64672.376799999998</v>
      </c>
      <c r="E338" s="49">
        <f>B338*D338</f>
        <v>-64672.376799999998</v>
      </c>
      <c r="F338" s="12"/>
      <c r="G338" s="16"/>
      <c r="H338" s="86" t="s">
        <v>287</v>
      </c>
      <c r="I338" s="86"/>
      <c r="J338" s="86"/>
      <c r="K338" s="70">
        <f>I338*0.045</f>
        <v>0</v>
      </c>
    </row>
    <row r="339" spans="1:11" x14ac:dyDescent="0.25">
      <c r="A339" s="70" t="s">
        <v>6</v>
      </c>
      <c r="B339" s="3">
        <v>2</v>
      </c>
      <c r="C339" s="49" t="s">
        <v>439</v>
      </c>
      <c r="D339" s="3">
        <v>6000</v>
      </c>
      <c r="E339" s="49">
        <f>B339*D339</f>
        <v>12000</v>
      </c>
      <c r="F339" s="12"/>
      <c r="G339" s="16"/>
      <c r="H339" s="86"/>
      <c r="I339" s="86"/>
      <c r="J339" s="86"/>
      <c r="K339" s="70"/>
    </row>
    <row r="340" spans="1:11" x14ac:dyDescent="0.25">
      <c r="F340" s="12"/>
      <c r="G340" s="16"/>
    </row>
    <row r="341" spans="1:11" x14ac:dyDescent="0.25">
      <c r="F341" s="12"/>
      <c r="G341" s="16"/>
    </row>
    <row r="342" spans="1:11" x14ac:dyDescent="0.25">
      <c r="A342" s="109"/>
      <c r="B342" s="22" t="s">
        <v>460</v>
      </c>
      <c r="C342" s="22"/>
      <c r="D342" s="22" t="s">
        <v>459</v>
      </c>
    </row>
  </sheetData>
  <protectedRanges>
    <protectedRange sqref="L6:L54" name="Диапазон3"/>
  </protectedRanges>
  <mergeCells count="23">
    <mergeCell ref="A5:G5"/>
    <mergeCell ref="A55:G55"/>
    <mergeCell ref="A226:G226"/>
    <mergeCell ref="A237:G237"/>
    <mergeCell ref="A290:G290"/>
    <mergeCell ref="A264:G264"/>
    <mergeCell ref="A254:G254"/>
    <mergeCell ref="A100:G100"/>
    <mergeCell ref="A117:G117"/>
    <mergeCell ref="A150:G150"/>
    <mergeCell ref="A167:G167"/>
    <mergeCell ref="A175:G175"/>
    <mergeCell ref="A72:G72"/>
    <mergeCell ref="A89:G89"/>
    <mergeCell ref="A107:G107"/>
    <mergeCell ref="A24:G24"/>
    <mergeCell ref="A300:G300"/>
    <mergeCell ref="A329:E329"/>
    <mergeCell ref="A31:G31"/>
    <mergeCell ref="H13:H14"/>
    <mergeCell ref="H15:H17"/>
    <mergeCell ref="H52:I52"/>
    <mergeCell ref="H329:K329"/>
  </mergeCells>
  <phoneticPr fontId="14" type="noConversion"/>
  <dataValidations count="5">
    <dataValidation type="list" allowBlank="1" showInputMessage="1" showErrorMessage="1" sqref="L25:L29" xr:uid="{00000000-0002-0000-0100-000000000000}">
      <formula1>#REF!</formula1>
    </dataValidation>
    <dataValidation type="list" allowBlank="1" showInputMessage="1" showErrorMessage="1" sqref="A303:A324" xr:uid="{00000000-0002-0000-0100-000001000000}">
      <formula1>$A$56:$A$269</formula1>
    </dataValidation>
    <dataValidation type="list" allowBlank="1" showInputMessage="1" showErrorMessage="1" sqref="F303:F325" xr:uid="{00000000-0002-0000-0100-000002000000}">
      <formula1>$K$290:$K$292</formula1>
    </dataValidation>
    <dataValidation type="list" allowBlank="1" showInputMessage="1" showErrorMessage="1" sqref="G303:G325" xr:uid="{00000000-0002-0000-0100-000003000000}">
      <formula1>$L$290:$L$292</formula1>
    </dataValidation>
    <dataValidation type="list" allowBlank="1" showInputMessage="1" showErrorMessage="1" sqref="I303:I324" xr:uid="{00000000-0002-0000-0100-000004000000}">
      <formula1>$M$290:$M$292</formula1>
    </dataValidation>
  </dataValidations>
  <pageMargins left="0.7" right="0.7" top="0.75" bottom="0.75" header="0.3" footer="0.3"/>
  <pageSetup paperSize="9" scale="4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5000000}">
          <x14:formula1>
            <xm:f>'Смета в налоговую'!$C$24:$C$62</xm:f>
          </x14:formula1>
          <xm:sqref>I56:J78</xm:sqref>
        </x14:dataValidation>
        <x14:dataValidation type="list" allowBlank="1" showInputMessage="1" showErrorMessage="1" xr:uid="{00000000-0002-0000-0100-000006000000}">
          <x14:formula1>
            <xm:f>'Смета в налоговую'!$C$87:$C$91</xm:f>
          </x14:formula1>
          <xm:sqref>I80:J86</xm:sqref>
        </x14:dataValidation>
        <x14:dataValidation type="list" allowBlank="1" showInputMessage="1" showErrorMessage="1" xr:uid="{00000000-0002-0000-0100-000007000000}">
          <x14:formula1>
            <xm:f>'Смета в налоговую'!$C$103:$C$106</xm:f>
          </x14:formula1>
          <xm:sqref>I88:J100</xm:sqref>
        </x14:dataValidation>
        <x14:dataValidation type="list" allowBlank="1" showInputMessage="1" showErrorMessage="1" xr:uid="{00000000-0002-0000-0100-000008000000}">
          <x14:formula1>
            <xm:f>'Смета в налоговую'!$C$108:$C$137</xm:f>
          </x14:formula1>
          <xm:sqref>I102:J110</xm:sqref>
        </x14:dataValidation>
        <x14:dataValidation type="list" allowBlank="1" showInputMessage="1" showErrorMessage="1" xr:uid="{00000000-0002-0000-0100-000009000000}">
          <x14:formula1>
            <xm:f>'Смета в налоговую'!$C$139:$C$169</xm:f>
          </x14:formula1>
          <xm:sqref>I112:J134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J340"/>
  <sheetViews>
    <sheetView tabSelected="1" topLeftCell="A19" zoomScaleNormal="100" workbookViewId="0">
      <selection activeCell="A313" sqref="A313:XFD329"/>
    </sheetView>
  </sheetViews>
  <sheetFormatPr defaultColWidth="9.140625" defaultRowHeight="15" x14ac:dyDescent="0.25"/>
  <cols>
    <col min="1" max="1" width="83.42578125" style="22" customWidth="1"/>
    <col min="2" max="2" width="15.140625" style="22" customWidth="1"/>
    <col min="3" max="3" width="14.140625" style="4" customWidth="1"/>
    <col min="4" max="4" width="16.7109375" style="4" customWidth="1"/>
    <col min="5" max="5" width="14.5703125" style="4" customWidth="1"/>
    <col min="6" max="6" width="15.140625" style="4" customWidth="1"/>
    <col min="7" max="7" width="14.7109375" style="4" customWidth="1"/>
    <col min="8" max="8" width="9.85546875" style="4" customWidth="1"/>
    <col min="9" max="9" width="16.7109375" style="4" customWidth="1"/>
    <col min="10" max="10" width="35.7109375" style="4" customWidth="1"/>
    <col min="11" max="16384" width="9.140625" style="4"/>
  </cols>
  <sheetData>
    <row r="1" spans="1:7" x14ac:dyDescent="0.25">
      <c r="A1" s="44" t="s">
        <v>443</v>
      </c>
      <c r="B1" s="45" t="str">
        <f>Просчет!E1</f>
        <v>№</v>
      </c>
      <c r="C1" s="42" t="s">
        <v>1010</v>
      </c>
    </row>
    <row r="2" spans="1:7" ht="14.45" x14ac:dyDescent="0.3">
      <c r="A2" s="44"/>
      <c r="B2" s="45"/>
      <c r="C2" s="42"/>
    </row>
    <row r="3" spans="1:7" x14ac:dyDescent="0.25">
      <c r="A3" s="78" t="s">
        <v>470</v>
      </c>
      <c r="B3" s="553"/>
      <c r="C3" s="554"/>
      <c r="D3" s="554"/>
      <c r="E3" s="554"/>
      <c r="F3" s="554"/>
      <c r="G3" s="555"/>
    </row>
    <row r="4" spans="1:7" x14ac:dyDescent="0.25">
      <c r="A4" s="79" t="s">
        <v>471</v>
      </c>
      <c r="B4" s="556"/>
      <c r="C4" s="557"/>
      <c r="D4" s="557"/>
      <c r="E4" s="557"/>
      <c r="F4" s="557"/>
      <c r="G4" s="558"/>
    </row>
    <row r="5" spans="1:7" x14ac:dyDescent="0.25">
      <c r="A5" s="79" t="s">
        <v>472</v>
      </c>
      <c r="B5" s="556"/>
      <c r="C5" s="557"/>
      <c r="D5" s="557"/>
      <c r="E5" s="557"/>
      <c r="F5" s="557"/>
      <c r="G5" s="558"/>
    </row>
    <row r="6" spans="1:7" x14ac:dyDescent="0.25">
      <c r="A6" s="79" t="s">
        <v>473</v>
      </c>
      <c r="B6" s="559"/>
      <c r="C6" s="560"/>
      <c r="D6" s="560"/>
      <c r="E6" s="560"/>
      <c r="F6" s="560"/>
      <c r="G6" s="561"/>
    </row>
    <row r="7" spans="1:7" x14ac:dyDescent="0.25">
      <c r="A7" s="79" t="s">
        <v>474</v>
      </c>
      <c r="B7" s="559"/>
      <c r="C7" s="560"/>
      <c r="D7" s="560"/>
      <c r="E7" s="560"/>
      <c r="F7" s="560"/>
      <c r="G7" s="561"/>
    </row>
    <row r="8" spans="1:7" x14ac:dyDescent="0.25">
      <c r="A8" s="80" t="s">
        <v>475</v>
      </c>
      <c r="B8" s="562"/>
      <c r="C8" s="563"/>
      <c r="D8" s="563"/>
      <c r="E8" s="563"/>
      <c r="F8" s="563"/>
      <c r="G8" s="564"/>
    </row>
    <row r="11" spans="1:7" x14ac:dyDescent="0.25">
      <c r="A11" s="75" t="s">
        <v>444</v>
      </c>
      <c r="B11" s="75" t="str">
        <f>Просчет!B4</f>
        <v>Кол-во</v>
      </c>
      <c r="C11" s="75" t="str">
        <f>Просчет!C4</f>
        <v>Ед. изм.</v>
      </c>
      <c r="D11" s="85" t="s">
        <v>464</v>
      </c>
      <c r="E11" s="85" t="s">
        <v>465</v>
      </c>
      <c r="F11" s="85" t="s">
        <v>466</v>
      </c>
      <c r="G11" s="85" t="s">
        <v>467</v>
      </c>
    </row>
    <row r="12" spans="1:7" ht="15" customHeight="1" x14ac:dyDescent="0.25">
      <c r="A12" s="76" t="s">
        <v>7</v>
      </c>
      <c r="B12" s="71" t="s">
        <v>461</v>
      </c>
      <c r="C12" s="71" t="s">
        <v>461</v>
      </c>
      <c r="D12" s="74"/>
      <c r="E12" s="74"/>
      <c r="F12" s="74"/>
      <c r="G12" s="74"/>
    </row>
    <row r="13" spans="1:7" ht="15" hidden="1" customHeight="1" x14ac:dyDescent="0.3">
      <c r="A13" s="70" t="str">
        <f>Просчет!A6</f>
        <v>Блоки</v>
      </c>
      <c r="B13" s="70">
        <f>Просчет!B6</f>
        <v>0</v>
      </c>
      <c r="C13" s="70" t="str">
        <f>Просчет!C6</f>
        <v>шт</v>
      </c>
      <c r="D13" s="9"/>
      <c r="E13" s="9"/>
      <c r="F13" s="9"/>
      <c r="G13" s="9"/>
    </row>
    <row r="14" spans="1:7" ht="15" hidden="1" customHeight="1" x14ac:dyDescent="0.3">
      <c r="A14" s="70" t="str">
        <f>Просчет!A7</f>
        <v>Свая 2000</v>
      </c>
      <c r="B14" s="70">
        <f>Просчет!B7</f>
        <v>0</v>
      </c>
      <c r="C14" s="70" t="str">
        <f>Просчет!C7</f>
        <v>шт</v>
      </c>
      <c r="D14" s="9"/>
      <c r="E14" s="9"/>
      <c r="F14" s="9"/>
      <c r="G14" s="9"/>
    </row>
    <row r="15" spans="1:7" ht="15" hidden="1" customHeight="1" x14ac:dyDescent="0.3">
      <c r="A15" s="70" t="str">
        <f>Просчет!A8</f>
        <v>Свая 2500</v>
      </c>
      <c r="B15" s="70">
        <f>Просчет!B8</f>
        <v>0</v>
      </c>
      <c r="C15" s="70" t="str">
        <f>Просчет!C8</f>
        <v>шт</v>
      </c>
      <c r="D15" s="9"/>
      <c r="E15" s="9"/>
      <c r="F15" s="9"/>
      <c r="G15" s="9"/>
    </row>
    <row r="16" spans="1:7" ht="15" hidden="1" customHeight="1" x14ac:dyDescent="0.3">
      <c r="A16" s="70" t="str">
        <f>Просчет!A9</f>
        <v>Свайный фундамент (забивные сваи)</v>
      </c>
      <c r="B16" s="70">
        <f>Просчет!B9</f>
        <v>0</v>
      </c>
      <c r="C16" s="70" t="str">
        <f>Просчет!C9</f>
        <v>шт</v>
      </c>
      <c r="D16" s="9"/>
      <c r="E16" s="9"/>
      <c r="F16" s="9"/>
      <c r="G16" s="9"/>
    </row>
    <row r="17" spans="1:7" ht="15" hidden="1" customHeight="1" x14ac:dyDescent="0.3">
      <c r="A17" s="70" t="str">
        <f>Просчет!A10</f>
        <v>Смесь М150</v>
      </c>
      <c r="B17" s="70">
        <f>Просчет!B10</f>
        <v>0</v>
      </c>
      <c r="C17" s="70" t="str">
        <f>Просчет!C10</f>
        <v>шт</v>
      </c>
      <c r="D17" s="9"/>
      <c r="E17" s="9"/>
      <c r="F17" s="9"/>
      <c r="G17" s="9"/>
    </row>
    <row r="18" spans="1:7" ht="15" customHeight="1" x14ac:dyDescent="0.3">
      <c r="A18" s="70" t="str">
        <f>Просчет!A11</f>
        <v>Рубероид</v>
      </c>
      <c r="B18" s="70">
        <f>Просчет!B11</f>
        <v>1</v>
      </c>
      <c r="C18" s="70" t="str">
        <f>Просчет!C11</f>
        <v>шт</v>
      </c>
      <c r="D18" s="9"/>
      <c r="E18" s="9"/>
      <c r="F18" s="9"/>
      <c r="G18" s="9"/>
    </row>
    <row r="19" spans="1:7" ht="15" customHeight="1" x14ac:dyDescent="0.3">
      <c r="A19" s="70" t="str">
        <f>Просчет!A12</f>
        <v>Антисептик 3TREE BIO 10кг</v>
      </c>
      <c r="B19" s="70">
        <f>Просчет!B12</f>
        <v>2</v>
      </c>
      <c r="C19" s="70" t="str">
        <f>Просчет!C12</f>
        <v>шт</v>
      </c>
      <c r="D19" s="9"/>
      <c r="E19" s="9"/>
      <c r="F19" s="9"/>
      <c r="G19" s="9"/>
    </row>
    <row r="20" spans="1:7" ht="15" hidden="1" customHeight="1" x14ac:dyDescent="0.3">
      <c r="A20" s="70" t="str">
        <f>Просчет!A13</f>
        <v>Глухарь 8*100</v>
      </c>
      <c r="B20" s="70">
        <f>Просчет!B13</f>
        <v>0</v>
      </c>
      <c r="C20" s="70" t="str">
        <f>Просчет!C13</f>
        <v>шт</v>
      </c>
      <c r="D20" s="9"/>
      <c r="E20" s="9"/>
      <c r="F20" s="9"/>
      <c r="G20" s="9"/>
    </row>
    <row r="21" spans="1:7" ht="15" hidden="1" customHeight="1" x14ac:dyDescent="0.3">
      <c r="A21" s="70" t="str">
        <f>Просчет!A14</f>
        <v>Шайба М8 ув</v>
      </c>
      <c r="B21" s="70">
        <f>Просчет!B14</f>
        <v>0</v>
      </c>
      <c r="C21" s="70" t="str">
        <f>Просчет!C14</f>
        <v>шт</v>
      </c>
      <c r="D21" s="9"/>
      <c r="E21" s="9"/>
      <c r="F21" s="9"/>
      <c r="G21" s="9"/>
    </row>
    <row r="22" spans="1:7" ht="15" hidden="1" customHeight="1" x14ac:dyDescent="0.3">
      <c r="A22" s="70" t="str">
        <f>Просчет!A15</f>
        <v>Шпилька 10*1000</v>
      </c>
      <c r="B22" s="70">
        <f>Просчет!B15</f>
        <v>0</v>
      </c>
      <c r="C22" s="70" t="str">
        <f>Просчет!C15</f>
        <v>шт</v>
      </c>
      <c r="D22" s="9"/>
      <c r="E22" s="9"/>
      <c r="F22" s="9"/>
      <c r="G22" s="9"/>
    </row>
    <row r="23" spans="1:7" ht="15" hidden="1" customHeight="1" x14ac:dyDescent="0.3">
      <c r="A23" s="70" t="str">
        <f>Просчет!A16</f>
        <v>Шайба М6 ув</v>
      </c>
      <c r="B23" s="70">
        <f>Просчет!B16</f>
        <v>0</v>
      </c>
      <c r="C23" s="70" t="str">
        <f>Просчет!C16</f>
        <v>шт</v>
      </c>
      <c r="D23" s="9"/>
      <c r="E23" s="9"/>
      <c r="F23" s="9"/>
      <c r="G23" s="9"/>
    </row>
    <row r="24" spans="1:7" ht="15" hidden="1" customHeight="1" x14ac:dyDescent="0.3">
      <c r="A24" s="70" t="str">
        <f>Просчет!A17</f>
        <v>Гайка М10</v>
      </c>
      <c r="B24" s="70">
        <f>Просчет!B17</f>
        <v>0</v>
      </c>
      <c r="C24" s="70" t="str">
        <f>Просчет!C17</f>
        <v>шт</v>
      </c>
      <c r="D24" s="9"/>
      <c r="E24" s="9"/>
      <c r="F24" s="9"/>
      <c r="G24" s="9"/>
    </row>
    <row r="25" spans="1:7" ht="15" hidden="1" customHeight="1" x14ac:dyDescent="0.3">
      <c r="A25" s="70" t="str">
        <f>Просчет!A18</f>
        <v>Цанга</v>
      </c>
      <c r="B25" s="70">
        <f>Просчет!B18</f>
        <v>0</v>
      </c>
      <c r="C25" s="70" t="str">
        <f>Просчет!C18</f>
        <v>шт</v>
      </c>
      <c r="D25" s="9"/>
      <c r="E25" s="9"/>
      <c r="F25" s="9"/>
      <c r="G25" s="9"/>
    </row>
    <row r="26" spans="1:7" ht="15" hidden="1" customHeight="1" x14ac:dyDescent="0.3">
      <c r="A26" s="70" t="str">
        <f>Просчет!A19</f>
        <v>Буронабивной фундамент</v>
      </c>
      <c r="B26" s="70">
        <f>Просчет!B19</f>
        <v>0</v>
      </c>
      <c r="C26" s="70" t="str">
        <f>Просчет!C19</f>
        <v>шт</v>
      </c>
      <c r="D26" s="9"/>
      <c r="E26" s="9"/>
      <c r="F26" s="9"/>
      <c r="G26" s="9"/>
    </row>
    <row r="27" spans="1:7" ht="15" hidden="1" customHeight="1" x14ac:dyDescent="0.3">
      <c r="A27" s="70" t="str">
        <f>Просчет!A20</f>
        <v>Буронабивной фундамент с монолитной плитой</v>
      </c>
      <c r="B27" s="70">
        <f>Просчет!B20</f>
        <v>0</v>
      </c>
      <c r="C27" s="70" t="str">
        <f>Просчет!C20</f>
        <v>шт</v>
      </c>
      <c r="D27" s="9"/>
      <c r="E27" s="9"/>
      <c r="F27" s="9"/>
      <c r="G27" s="9"/>
    </row>
    <row r="28" spans="1:7" ht="15" hidden="1" customHeight="1" x14ac:dyDescent="0.3">
      <c r="A28" s="70" t="str">
        <f>Просчет!A21</f>
        <v xml:space="preserve">Ж/б лента </v>
      </c>
      <c r="B28" s="70">
        <f>Просчет!B21</f>
        <v>0</v>
      </c>
      <c r="C28" s="70" t="str">
        <f>Просчет!C21</f>
        <v>шт</v>
      </c>
      <c r="D28" s="9"/>
      <c r="E28" s="9"/>
      <c r="F28" s="9"/>
      <c r="G28" s="9"/>
    </row>
    <row r="29" spans="1:7" ht="15" hidden="1" customHeight="1" x14ac:dyDescent="0.3">
      <c r="A29" s="70" t="str">
        <f>Просчет!A22</f>
        <v>Фундаментная плита</v>
      </c>
      <c r="B29" s="70">
        <f>Просчет!B22</f>
        <v>0</v>
      </c>
      <c r="C29" s="70" t="str">
        <f>Просчет!C22</f>
        <v>шт</v>
      </c>
      <c r="D29" s="9"/>
      <c r="E29" s="9"/>
      <c r="F29" s="9"/>
      <c r="G29" s="9"/>
    </row>
    <row r="30" spans="1:7" ht="15" hidden="1" customHeight="1" x14ac:dyDescent="0.3">
      <c r="A30" s="70" t="str">
        <f>Просчет!A23</f>
        <v>Сетка от грызунов 1*10м</v>
      </c>
      <c r="B30" s="70">
        <f>Просчет!B23</f>
        <v>0</v>
      </c>
      <c r="C30" s="70" t="str">
        <f>Просчет!C23</f>
        <v>шт</v>
      </c>
      <c r="D30" s="9"/>
      <c r="E30" s="9"/>
      <c r="F30" s="9"/>
      <c r="G30" s="9"/>
    </row>
    <row r="31" spans="1:7" ht="15" customHeight="1" x14ac:dyDescent="0.3">
      <c r="A31" s="77" t="str">
        <f>Просчет!A24</f>
        <v>Цоколь</v>
      </c>
      <c r="B31" s="71" t="s">
        <v>461</v>
      </c>
      <c r="C31" s="71" t="s">
        <v>461</v>
      </c>
      <c r="D31" s="74"/>
      <c r="E31" s="74"/>
      <c r="F31" s="74"/>
      <c r="G31" s="74"/>
    </row>
    <row r="32" spans="1:7" ht="15" hidden="1" customHeight="1" x14ac:dyDescent="0.3">
      <c r="A32" s="70" t="str">
        <f>Просчет!A25</f>
        <v>HAUBERK ТЕХНОНИКОЛЬ Терракотовый кирпич</v>
      </c>
      <c r="B32" s="70">
        <f>Просчет!B25</f>
        <v>0</v>
      </c>
      <c r="C32" s="70" t="str">
        <f>Просчет!C25</f>
        <v>м2</v>
      </c>
      <c r="D32" s="9"/>
      <c r="E32" s="9"/>
      <c r="F32" s="9"/>
      <c r="G32" s="9"/>
    </row>
    <row r="33" spans="1:7" ht="15" hidden="1" customHeight="1" x14ac:dyDescent="0.3">
      <c r="A33" s="70" t="str">
        <f>Просчет!A26</f>
        <v>Пенополистерол 1180х580х50мм</v>
      </c>
      <c r="B33" s="70">
        <f>Просчет!B26</f>
        <v>0</v>
      </c>
      <c r="C33" s="70" t="str">
        <f>Просчет!C26</f>
        <v>шт</v>
      </c>
      <c r="D33" s="9"/>
      <c r="E33" s="9"/>
      <c r="F33" s="9"/>
      <c r="G33" s="9"/>
    </row>
    <row r="34" spans="1:7" ht="15" hidden="1" customHeight="1" x14ac:dyDescent="0.3">
      <c r="A34" s="70" t="str">
        <f>Просчет!A27</f>
        <v>ЦСП 10</v>
      </c>
      <c r="B34" s="70">
        <f>Просчет!B27</f>
        <v>0</v>
      </c>
      <c r="C34" s="70" t="str">
        <f>Просчет!C27</f>
        <v>шт</v>
      </c>
      <c r="D34" s="9"/>
      <c r="E34" s="9"/>
      <c r="F34" s="9"/>
      <c r="G34" s="9"/>
    </row>
    <row r="35" spans="1:7" ht="15" hidden="1" customHeight="1" x14ac:dyDescent="0.3">
      <c r="A35" s="70" t="str">
        <f>Просчет!A28</f>
        <v>Профиль 20*40</v>
      </c>
      <c r="B35" s="70">
        <f>Просчет!B28</f>
        <v>0</v>
      </c>
      <c r="C35" s="70" t="str">
        <f>Просчет!C28</f>
        <v>пог. М</v>
      </c>
      <c r="D35" s="9"/>
      <c r="E35" s="9"/>
      <c r="F35" s="9"/>
      <c r="G35" s="9"/>
    </row>
    <row r="36" spans="1:7" ht="15" hidden="1" customHeight="1" x14ac:dyDescent="0.3">
      <c r="A36" s="70" t="str">
        <f>Просчет!A29</f>
        <v>40*50*3</v>
      </c>
      <c r="B36" s="70">
        <f>Просчет!B29</f>
        <v>0</v>
      </c>
      <c r="C36" s="70" t="str">
        <f>Просчет!C29</f>
        <v>шт</v>
      </c>
      <c r="D36" s="9"/>
      <c r="E36" s="9"/>
      <c r="F36" s="9"/>
      <c r="G36" s="9"/>
    </row>
    <row r="37" spans="1:7" ht="15" hidden="1" customHeight="1" x14ac:dyDescent="0.3">
      <c r="A37" s="70" t="str">
        <f>Просчет!A30</f>
        <v>Отливы 10 (на фундамент, цвет - вишня)</v>
      </c>
      <c r="B37" s="70">
        <f>Просчет!B30</f>
        <v>0</v>
      </c>
      <c r="C37" s="70" t="str">
        <f>Просчет!C30</f>
        <v>шт</v>
      </c>
      <c r="D37" s="9"/>
      <c r="E37" s="9"/>
      <c r="F37" s="9"/>
      <c r="G37" s="9"/>
    </row>
    <row r="38" spans="1:7" ht="15" customHeight="1" x14ac:dyDescent="0.3">
      <c r="A38" s="77" t="str">
        <f>Просчет!A31</f>
        <v>Брус для обвязки</v>
      </c>
      <c r="B38" s="71" t="s">
        <v>461</v>
      </c>
      <c r="C38" s="71" t="s">
        <v>461</v>
      </c>
      <c r="D38" s="74"/>
      <c r="E38" s="74"/>
      <c r="F38" s="74"/>
      <c r="G38" s="74"/>
    </row>
    <row r="39" spans="1:7" ht="15" hidden="1" customHeight="1" x14ac:dyDescent="0.3">
      <c r="A39" s="70" t="str">
        <f>Просчет!A32</f>
        <v>50*100*6 обвязка</v>
      </c>
      <c r="B39" s="70">
        <f>Просчет!B32</f>
        <v>0</v>
      </c>
      <c r="C39" s="70" t="str">
        <f>Просчет!C32</f>
        <v>шт</v>
      </c>
      <c r="D39" s="9"/>
      <c r="E39" s="9"/>
      <c r="F39" s="9"/>
      <c r="G39" s="9"/>
    </row>
    <row r="40" spans="1:7" ht="15" hidden="1" customHeight="1" x14ac:dyDescent="0.3">
      <c r="A40" s="70" t="str">
        <f>Просчет!A33</f>
        <v>50*150*6 обвязка</v>
      </c>
      <c r="B40" s="70">
        <f>Просчет!B33</f>
        <v>0</v>
      </c>
      <c r="C40" s="70" t="str">
        <f>Просчет!C33</f>
        <v>шт</v>
      </c>
      <c r="D40" s="9"/>
      <c r="E40" s="9"/>
      <c r="F40" s="9"/>
      <c r="G40" s="9"/>
    </row>
    <row r="41" spans="1:7" ht="15" hidden="1" customHeight="1" x14ac:dyDescent="0.3">
      <c r="A41" s="70" t="str">
        <f>Просчет!A34</f>
        <v>50*200*6 обвязка</v>
      </c>
      <c r="B41" s="70">
        <f>Просчет!B34</f>
        <v>0</v>
      </c>
      <c r="C41" s="70" t="str">
        <f>Просчет!C34</f>
        <v>шт</v>
      </c>
      <c r="D41" s="9"/>
      <c r="E41" s="9"/>
      <c r="F41" s="9"/>
      <c r="G41" s="9"/>
    </row>
    <row r="42" spans="1:7" ht="15" hidden="1" customHeight="1" x14ac:dyDescent="0.3">
      <c r="A42" s="70" t="str">
        <f>Просчет!A35</f>
        <v>100*100*6 обвязка</v>
      </c>
      <c r="B42" s="70">
        <f>Просчет!B35</f>
        <v>0</v>
      </c>
      <c r="C42" s="70" t="str">
        <f>Просчет!C35</f>
        <v>шт</v>
      </c>
      <c r="D42" s="9"/>
      <c r="E42" s="9"/>
      <c r="F42" s="9"/>
      <c r="G42" s="9"/>
    </row>
    <row r="43" spans="1:7" ht="15" hidden="1" customHeight="1" x14ac:dyDescent="0.3">
      <c r="A43" s="70" t="str">
        <f>Просчет!A36</f>
        <v>100*150*6 обвязка</v>
      </c>
      <c r="B43" s="70">
        <f>Просчет!B36</f>
        <v>0</v>
      </c>
      <c r="C43" s="70" t="str">
        <f>Просчет!C36</f>
        <v>шт</v>
      </c>
      <c r="D43" s="9"/>
      <c r="E43" s="9"/>
      <c r="F43" s="9"/>
      <c r="G43" s="9"/>
    </row>
    <row r="44" spans="1:7" ht="15" hidden="1" customHeight="1" x14ac:dyDescent="0.3">
      <c r="A44" s="70" t="str">
        <f>Просчет!A37</f>
        <v>100*200*6 обвязка</v>
      </c>
      <c r="B44" s="70">
        <f>Просчет!B37</f>
        <v>0</v>
      </c>
      <c r="C44" s="70" t="str">
        <f>Просчет!C37</f>
        <v>шт</v>
      </c>
      <c r="D44" s="9"/>
      <c r="E44" s="9"/>
      <c r="F44" s="9"/>
      <c r="G44" s="9"/>
    </row>
    <row r="45" spans="1:7" ht="15" hidden="1" customHeight="1" x14ac:dyDescent="0.3">
      <c r="A45" s="70" t="str">
        <f>Просчет!A38</f>
        <v>150*150*6 обвязка</v>
      </c>
      <c r="B45" s="70">
        <f>Просчет!B38</f>
        <v>0</v>
      </c>
      <c r="C45" s="70" t="str">
        <f>Просчет!C38</f>
        <v>шт</v>
      </c>
      <c r="D45" s="9"/>
      <c r="E45" s="9"/>
      <c r="F45" s="9"/>
      <c r="G45" s="9"/>
    </row>
    <row r="46" spans="1:7" ht="15" hidden="1" customHeight="1" x14ac:dyDescent="0.3">
      <c r="A46" s="70" t="str">
        <f>Просчет!A39</f>
        <v>150*200*6 обвязка</v>
      </c>
      <c r="B46" s="70">
        <f>Просчет!B39</f>
        <v>0</v>
      </c>
      <c r="C46" s="70" t="str">
        <f>Просчет!C39</f>
        <v>шт</v>
      </c>
      <c r="D46" s="9"/>
      <c r="E46" s="9"/>
      <c r="F46" s="9"/>
      <c r="G46" s="9"/>
    </row>
    <row r="47" spans="1:7" ht="15" hidden="1" customHeight="1" x14ac:dyDescent="0.3">
      <c r="A47" s="70" t="str">
        <f>Просчет!A40</f>
        <v>200*200*6 обвязка</v>
      </c>
      <c r="B47" s="70">
        <f>Просчет!B40</f>
        <v>0</v>
      </c>
      <c r="C47" s="70" t="str">
        <f>Просчет!C40</f>
        <v>шт</v>
      </c>
      <c r="D47" s="9"/>
      <c r="E47" s="9"/>
      <c r="F47" s="9"/>
      <c r="G47" s="9"/>
    </row>
    <row r="48" spans="1:7" ht="15" hidden="1" customHeight="1" x14ac:dyDescent="0.3">
      <c r="A48" s="70" t="str">
        <f>Просчет!A41</f>
        <v>50*100*6 сухой обвязка</v>
      </c>
      <c r="B48" s="70">
        <f>Просчет!B41</f>
        <v>0</v>
      </c>
      <c r="C48" s="70" t="str">
        <f>Просчет!C41</f>
        <v>шт</v>
      </c>
      <c r="D48" s="9"/>
      <c r="E48" s="9"/>
      <c r="F48" s="9"/>
      <c r="G48" s="9"/>
    </row>
    <row r="49" spans="1:7" ht="15" hidden="1" customHeight="1" x14ac:dyDescent="0.3">
      <c r="A49" s="70" t="str">
        <f>Просчет!A42</f>
        <v>50*150*6 сухой обвязка</v>
      </c>
      <c r="B49" s="70">
        <f>Просчет!B42</f>
        <v>0</v>
      </c>
      <c r="C49" s="70" t="str">
        <f>Просчет!C42</f>
        <v>шт</v>
      </c>
      <c r="D49" s="9"/>
      <c r="E49" s="9"/>
      <c r="F49" s="9"/>
      <c r="G49" s="9"/>
    </row>
    <row r="50" spans="1:7" ht="15" hidden="1" customHeight="1" x14ac:dyDescent="0.3">
      <c r="A50" s="70" t="str">
        <f>Просчет!A43</f>
        <v>50*200*6 сухой обвязка</v>
      </c>
      <c r="B50" s="70">
        <f>Просчет!B43</f>
        <v>0</v>
      </c>
      <c r="C50" s="70" t="str">
        <f>Просчет!C43</f>
        <v>шт</v>
      </c>
      <c r="D50" s="9"/>
      <c r="E50" s="9"/>
      <c r="F50" s="9"/>
      <c r="G50" s="9"/>
    </row>
    <row r="51" spans="1:7" ht="15" hidden="1" customHeight="1" x14ac:dyDescent="0.3">
      <c r="A51" s="70" t="str">
        <f>Просчет!A44</f>
        <v>100*100*6 сухой обвязка</v>
      </c>
      <c r="B51" s="70">
        <f>Просчет!B44</f>
        <v>0</v>
      </c>
      <c r="C51" s="70" t="str">
        <f>Просчет!C44</f>
        <v>шт</v>
      </c>
      <c r="D51" s="9"/>
      <c r="E51" s="9"/>
      <c r="F51" s="9"/>
      <c r="G51" s="9"/>
    </row>
    <row r="52" spans="1:7" ht="15" hidden="1" customHeight="1" x14ac:dyDescent="0.3">
      <c r="A52" s="70" t="str">
        <f>Просчет!A45</f>
        <v>100*150*6 сухой обвязка</v>
      </c>
      <c r="B52" s="70">
        <f>Просчет!B45</f>
        <v>0</v>
      </c>
      <c r="C52" s="70" t="str">
        <f>Просчет!C45</f>
        <v>шт</v>
      </c>
      <c r="D52" s="9"/>
      <c r="E52" s="9"/>
      <c r="F52" s="9"/>
      <c r="G52" s="9"/>
    </row>
    <row r="53" spans="1:7" ht="15" hidden="1" customHeight="1" x14ac:dyDescent="0.3">
      <c r="A53" s="70" t="str">
        <f>Просчет!A46</f>
        <v>100*200*6 сухой обвязка</v>
      </c>
      <c r="B53" s="70">
        <f>Просчет!B46</f>
        <v>0</v>
      </c>
      <c r="C53" s="70" t="str">
        <f>Просчет!C46</f>
        <v>шт</v>
      </c>
      <c r="D53" s="9"/>
      <c r="E53" s="9"/>
      <c r="F53" s="9"/>
      <c r="G53" s="9"/>
    </row>
    <row r="54" spans="1:7" ht="15" hidden="1" customHeight="1" x14ac:dyDescent="0.3">
      <c r="A54" s="70" t="str">
        <f>Просчет!A47</f>
        <v>150*150*6 сухой обвязка</v>
      </c>
      <c r="B54" s="70">
        <f>Просчет!B47</f>
        <v>0</v>
      </c>
      <c r="C54" s="70" t="str">
        <f>Просчет!C47</f>
        <v>шт</v>
      </c>
      <c r="D54" s="9"/>
      <c r="E54" s="9"/>
      <c r="F54" s="9"/>
      <c r="G54" s="9"/>
    </row>
    <row r="55" spans="1:7" ht="15" hidden="1" customHeight="1" x14ac:dyDescent="0.3">
      <c r="A55" s="70" t="str">
        <f>Просчет!A48</f>
        <v>150*200*6 сухой обвязка</v>
      </c>
      <c r="B55" s="70">
        <f>Просчет!B48</f>
        <v>0</v>
      </c>
      <c r="C55" s="70" t="str">
        <f>Просчет!C48</f>
        <v>шт</v>
      </c>
      <c r="D55" s="9"/>
      <c r="E55" s="9"/>
      <c r="F55" s="9"/>
      <c r="G55" s="9"/>
    </row>
    <row r="56" spans="1:7" ht="15" hidden="1" customHeight="1" x14ac:dyDescent="0.3">
      <c r="A56" s="70" t="str">
        <f>Просчет!A49</f>
        <v>200*200*6 сухой обвязка</v>
      </c>
      <c r="B56" s="70">
        <f>Просчет!B49</f>
        <v>0</v>
      </c>
      <c r="C56" s="70" t="str">
        <f>Просчет!C49</f>
        <v>шт</v>
      </c>
      <c r="D56" s="9"/>
      <c r="E56" s="9"/>
      <c r="F56" s="9"/>
      <c r="G56" s="9"/>
    </row>
    <row r="57" spans="1:7" ht="15" hidden="1" customHeight="1" x14ac:dyDescent="0.3">
      <c r="A57" s="70" t="str">
        <f>Просчет!A50</f>
        <v>40*90*6 обвязка</v>
      </c>
      <c r="B57" s="70">
        <f>Просчет!B50</f>
        <v>0</v>
      </c>
      <c r="C57" s="70" t="str">
        <f>Просчет!C50</f>
        <v>шт</v>
      </c>
      <c r="D57" s="9"/>
      <c r="E57" s="9"/>
      <c r="F57" s="9"/>
      <c r="G57" s="9"/>
    </row>
    <row r="58" spans="1:7" ht="15" hidden="1" customHeight="1" x14ac:dyDescent="0.3">
      <c r="A58" s="70" t="str">
        <f>Просчет!A51</f>
        <v>35*140*6 обвязка</v>
      </c>
      <c r="B58" s="70">
        <f>Просчет!B51</f>
        <v>0</v>
      </c>
      <c r="C58" s="70" t="str">
        <f>Просчет!C51</f>
        <v>шт</v>
      </c>
      <c r="D58" s="9"/>
      <c r="E58" s="9"/>
      <c r="F58" s="9"/>
      <c r="G58" s="9"/>
    </row>
    <row r="59" spans="1:7" ht="15" hidden="1" customHeight="1" x14ac:dyDescent="0.3">
      <c r="A59" s="70" t="str">
        <f>Просчет!A52</f>
        <v>40*140*6 обвязка</v>
      </c>
      <c r="B59" s="70">
        <f>Просчет!B52</f>
        <v>0</v>
      </c>
      <c r="C59" s="70" t="str">
        <f>Просчет!C52</f>
        <v>шт</v>
      </c>
      <c r="D59" s="9"/>
      <c r="E59" s="9"/>
      <c r="F59" s="9"/>
      <c r="G59" s="9"/>
    </row>
    <row r="60" spans="1:7" ht="15" hidden="1" customHeight="1" x14ac:dyDescent="0.3">
      <c r="A60" s="70" t="str">
        <f>Просчет!A53</f>
        <v>35*190*6 обвязка</v>
      </c>
      <c r="B60" s="70">
        <f>Просчет!B53</f>
        <v>0</v>
      </c>
      <c r="C60" s="70" t="str">
        <f>Просчет!C53</f>
        <v>шт</v>
      </c>
      <c r="D60" s="9"/>
      <c r="E60" s="9"/>
      <c r="F60" s="9"/>
      <c r="G60" s="9"/>
    </row>
    <row r="61" spans="1:7" ht="15" hidden="1" customHeight="1" x14ac:dyDescent="0.3">
      <c r="A61" s="70" t="str">
        <f>Просчет!A54</f>
        <v>40*190*6 обвязка</v>
      </c>
      <c r="B61" s="70">
        <f>Просчет!B54</f>
        <v>0</v>
      </c>
      <c r="C61" s="70" t="str">
        <f>Просчет!C54</f>
        <v>шт</v>
      </c>
      <c r="D61" s="9"/>
      <c r="E61" s="9"/>
      <c r="F61" s="9"/>
      <c r="G61" s="9"/>
    </row>
    <row r="62" spans="1:7" ht="13.5" customHeight="1" x14ac:dyDescent="0.3">
      <c r="A62" s="77" t="str">
        <f>Просчет!A55</f>
        <v>Брус естественной влажности</v>
      </c>
      <c r="B62" s="71" t="s">
        <v>461</v>
      </c>
      <c r="C62" s="71" t="s">
        <v>461</v>
      </c>
      <c r="D62" s="74"/>
      <c r="E62" s="74"/>
      <c r="F62" s="74"/>
      <c r="G62" s="74"/>
    </row>
    <row r="63" spans="1:7" ht="15" hidden="1" customHeight="1" x14ac:dyDescent="0.3">
      <c r="A63" s="70" t="str">
        <f>Просчет!A56</f>
        <v>25*50*3</v>
      </c>
      <c r="B63" s="70">
        <f>Просчет!B56</f>
        <v>0</v>
      </c>
      <c r="C63" s="70" t="str">
        <f>Просчет!C56</f>
        <v>шт</v>
      </c>
      <c r="D63" s="9"/>
      <c r="E63" s="9"/>
      <c r="F63" s="9"/>
      <c r="G63" s="9"/>
    </row>
    <row r="64" spans="1:7" ht="15" hidden="1" customHeight="1" x14ac:dyDescent="0.3">
      <c r="A64" s="70" t="str">
        <f>Просчет!A57</f>
        <v>25*100*6</v>
      </c>
      <c r="B64" s="70">
        <f>Просчет!B57</f>
        <v>0</v>
      </c>
      <c r="C64" s="70" t="str">
        <f>Просчет!C57</f>
        <v>шт</v>
      </c>
      <c r="D64" s="9"/>
      <c r="E64" s="9"/>
      <c r="F64" s="9"/>
      <c r="G64" s="9"/>
    </row>
    <row r="65" spans="1:7" ht="15" hidden="1" customHeight="1" x14ac:dyDescent="0.3">
      <c r="A65" s="70" t="str">
        <f>Просчет!A58</f>
        <v>25*100*6 2-й сорт</v>
      </c>
      <c r="B65" s="70">
        <f>Просчет!B58</f>
        <v>0</v>
      </c>
      <c r="C65" s="70" t="str">
        <f>Просчет!C58</f>
        <v>шт</v>
      </c>
      <c r="D65" s="9"/>
      <c r="E65" s="9"/>
      <c r="F65" s="9"/>
      <c r="G65" s="9"/>
    </row>
    <row r="66" spans="1:7" ht="15" hidden="1" customHeight="1" x14ac:dyDescent="0.3">
      <c r="A66" s="70" t="str">
        <f>Просчет!A59</f>
        <v>25*150*6</v>
      </c>
      <c r="B66" s="70">
        <f>Просчет!B59</f>
        <v>0</v>
      </c>
      <c r="C66" s="70" t="str">
        <f>Просчет!C59</f>
        <v>шт</v>
      </c>
      <c r="D66" s="9"/>
      <c r="E66" s="9"/>
      <c r="F66" s="9"/>
      <c r="G66" s="9"/>
    </row>
    <row r="67" spans="1:7" ht="15" hidden="1" customHeight="1" x14ac:dyDescent="0.3">
      <c r="A67" s="70" t="str">
        <f>Просчет!A60</f>
        <v>25*200*6</v>
      </c>
      <c r="B67" s="70">
        <f>Просчет!B60</f>
        <v>0</v>
      </c>
      <c r="C67" s="70" t="str">
        <f>Просчет!C60</f>
        <v>шт</v>
      </c>
      <c r="D67" s="9"/>
      <c r="E67" s="9"/>
      <c r="F67" s="9"/>
      <c r="G67" s="9"/>
    </row>
    <row r="68" spans="1:7" ht="15" hidden="1" customHeight="1" x14ac:dyDescent="0.3">
      <c r="A68" s="70" t="str">
        <f>Просчет!A61</f>
        <v>40*50*3</v>
      </c>
      <c r="B68" s="70">
        <f>Просчет!B61</f>
        <v>0</v>
      </c>
      <c r="C68" s="70" t="str">
        <f>Просчет!C61</f>
        <v>шт</v>
      </c>
      <c r="D68" s="9"/>
      <c r="E68" s="9"/>
      <c r="F68" s="9"/>
      <c r="G68" s="9"/>
    </row>
    <row r="69" spans="1:7" ht="15" hidden="1" customHeight="1" x14ac:dyDescent="0.3">
      <c r="A69" s="70" t="str">
        <f>Просчет!A62</f>
        <v>50*50*3</v>
      </c>
      <c r="B69" s="70">
        <f>Просчет!B62</f>
        <v>0</v>
      </c>
      <c r="C69" s="70" t="str">
        <f>Просчет!C62</f>
        <v>шт</v>
      </c>
      <c r="D69" s="9"/>
      <c r="E69" s="9"/>
      <c r="F69" s="9"/>
      <c r="G69" s="9"/>
    </row>
    <row r="70" spans="1:7" ht="15" hidden="1" customHeight="1" x14ac:dyDescent="0.3">
      <c r="A70" s="70" t="str">
        <f>Просчет!A63</f>
        <v>50*100*6</v>
      </c>
      <c r="B70" s="70">
        <f>Просчет!B63</f>
        <v>0</v>
      </c>
      <c r="C70" s="70" t="str">
        <f>Просчет!C63</f>
        <v>шт</v>
      </c>
      <c r="D70" s="9"/>
      <c r="E70" s="9"/>
      <c r="F70" s="9"/>
      <c r="G70" s="9"/>
    </row>
    <row r="71" spans="1:7" ht="15" hidden="1" customHeight="1" x14ac:dyDescent="0.3">
      <c r="A71" s="70" t="str">
        <f>Просчет!A64</f>
        <v>50*150*6</v>
      </c>
      <c r="B71" s="70">
        <f>Просчет!B64</f>
        <v>0</v>
      </c>
      <c r="C71" s="70" t="str">
        <f>Просчет!C64</f>
        <v>шт</v>
      </c>
      <c r="D71" s="9"/>
      <c r="E71" s="9"/>
      <c r="F71" s="9"/>
      <c r="G71" s="9"/>
    </row>
    <row r="72" spans="1:7" ht="15" hidden="1" customHeight="1" x14ac:dyDescent="0.3">
      <c r="A72" s="70" t="str">
        <f>Просчет!A65</f>
        <v>50*200*6</v>
      </c>
      <c r="B72" s="70">
        <f>Просчет!B65</f>
        <v>0</v>
      </c>
      <c r="C72" s="70" t="str">
        <f>Просчет!C65</f>
        <v>шт</v>
      </c>
      <c r="D72" s="9"/>
      <c r="E72" s="9"/>
      <c r="F72" s="9"/>
      <c r="G72" s="9"/>
    </row>
    <row r="73" spans="1:7" ht="15" hidden="1" customHeight="1" x14ac:dyDescent="0.3">
      <c r="A73" s="70" t="str">
        <f>Просчет!A66</f>
        <v>100*100*6</v>
      </c>
      <c r="B73" s="70">
        <f>Просчет!B66</f>
        <v>0</v>
      </c>
      <c r="C73" s="70" t="str">
        <f>Просчет!C66</f>
        <v>шт</v>
      </c>
      <c r="D73" s="9"/>
      <c r="E73" s="9"/>
      <c r="F73" s="9"/>
      <c r="G73" s="9"/>
    </row>
    <row r="74" spans="1:7" ht="15" hidden="1" customHeight="1" x14ac:dyDescent="0.3">
      <c r="A74" s="70" t="str">
        <f>Просчет!A67</f>
        <v>100*150*6</v>
      </c>
      <c r="B74" s="70">
        <f>Просчет!B67</f>
        <v>0</v>
      </c>
      <c r="C74" s="70" t="str">
        <f>Просчет!C67</f>
        <v>шт</v>
      </c>
      <c r="D74" s="9"/>
      <c r="E74" s="9"/>
      <c r="F74" s="9"/>
      <c r="G74" s="9"/>
    </row>
    <row r="75" spans="1:7" ht="15" hidden="1" customHeight="1" x14ac:dyDescent="0.3">
      <c r="A75" s="70" t="str">
        <f>Просчет!A68</f>
        <v>100*200*6</v>
      </c>
      <c r="B75" s="70">
        <f>Просчет!B68</f>
        <v>0</v>
      </c>
      <c r="C75" s="70" t="str">
        <f>Просчет!C68</f>
        <v>шт</v>
      </c>
      <c r="D75" s="9"/>
      <c r="E75" s="9"/>
      <c r="F75" s="9"/>
      <c r="G75" s="9"/>
    </row>
    <row r="76" spans="1:7" ht="15" hidden="1" customHeight="1" x14ac:dyDescent="0.3">
      <c r="A76" s="70" t="str">
        <f>Просчет!A69</f>
        <v>150*150*6</v>
      </c>
      <c r="B76" s="70">
        <f>Просчет!B69</f>
        <v>0</v>
      </c>
      <c r="C76" s="70" t="str">
        <f>Просчет!C69</f>
        <v>шт</v>
      </c>
      <c r="D76" s="9"/>
      <c r="E76" s="9"/>
      <c r="F76" s="9"/>
      <c r="G76" s="9"/>
    </row>
    <row r="77" spans="1:7" ht="15" hidden="1" customHeight="1" x14ac:dyDescent="0.3">
      <c r="A77" s="70" t="str">
        <f>Просчет!A70</f>
        <v>150*200*6</v>
      </c>
      <c r="B77" s="70">
        <f>Просчет!B70</f>
        <v>0</v>
      </c>
      <c r="C77" s="70" t="str">
        <f>Просчет!C70</f>
        <v>шт</v>
      </c>
      <c r="D77" s="9"/>
      <c r="E77" s="9"/>
      <c r="F77" s="9"/>
      <c r="G77" s="9"/>
    </row>
    <row r="78" spans="1:7" ht="15" hidden="1" customHeight="1" x14ac:dyDescent="0.3">
      <c r="A78" s="70" t="str">
        <f>Просчет!A71</f>
        <v>200*200*6</v>
      </c>
      <c r="B78" s="70">
        <f>Просчет!B71</f>
        <v>0</v>
      </c>
      <c r="C78" s="70" t="str">
        <f>Просчет!C71</f>
        <v>шт</v>
      </c>
      <c r="D78" s="9"/>
      <c r="E78" s="9"/>
      <c r="F78" s="9"/>
      <c r="G78" s="9"/>
    </row>
    <row r="79" spans="1:7" ht="15" customHeight="1" x14ac:dyDescent="0.3">
      <c r="A79" s="77" t="str">
        <f>Просчет!A72</f>
        <v>Брус сухой нестроганый</v>
      </c>
      <c r="B79" s="71" t="s">
        <v>461</v>
      </c>
      <c r="C79" s="71" t="s">
        <v>461</v>
      </c>
      <c r="D79" s="74"/>
      <c r="E79" s="74"/>
      <c r="F79" s="74"/>
      <c r="G79" s="74"/>
    </row>
    <row r="80" spans="1:7" ht="15" hidden="1" customHeight="1" x14ac:dyDescent="0.3">
      <c r="A80" s="70" t="str">
        <f>Просчет!A73</f>
        <v>25*50*3 сухой</v>
      </c>
      <c r="B80" s="70">
        <f>Просчет!B73</f>
        <v>0</v>
      </c>
      <c r="C80" s="70" t="str">
        <f>Просчет!C73</f>
        <v>шт</v>
      </c>
      <c r="D80" s="9"/>
      <c r="E80" s="9"/>
      <c r="F80" s="9"/>
      <c r="G80" s="9"/>
    </row>
    <row r="81" spans="1:7" ht="15" hidden="1" customHeight="1" x14ac:dyDescent="0.3">
      <c r="A81" s="70" t="str">
        <f>Просчет!A74</f>
        <v>25*100*6 сухой</v>
      </c>
      <c r="B81" s="70">
        <f>Просчет!B74</f>
        <v>0</v>
      </c>
      <c r="C81" s="70" t="str">
        <f>Просчет!C74</f>
        <v>шт</v>
      </c>
      <c r="D81" s="9"/>
      <c r="E81" s="9"/>
      <c r="F81" s="9"/>
      <c r="G81" s="9"/>
    </row>
    <row r="82" spans="1:7" ht="15" hidden="1" customHeight="1" x14ac:dyDescent="0.3">
      <c r="A82" s="70" t="str">
        <f>Просчет!A75</f>
        <v>25*100*6 2-й сорт сухой</v>
      </c>
      <c r="B82" s="70">
        <f>Просчет!B75</f>
        <v>0</v>
      </c>
      <c r="C82" s="70" t="str">
        <f>Просчет!C75</f>
        <v>шт</v>
      </c>
      <c r="D82" s="9"/>
      <c r="E82" s="9"/>
      <c r="F82" s="9"/>
      <c r="G82" s="9"/>
    </row>
    <row r="83" spans="1:7" ht="15" hidden="1" customHeight="1" x14ac:dyDescent="0.3">
      <c r="A83" s="70" t="str">
        <f>Просчет!A76</f>
        <v>25*150*6 сухой</v>
      </c>
      <c r="B83" s="70">
        <f>Просчет!B76</f>
        <v>0</v>
      </c>
      <c r="C83" s="70" t="str">
        <f>Просчет!C76</f>
        <v>шт</v>
      </c>
      <c r="D83" s="9"/>
      <c r="E83" s="9"/>
      <c r="F83" s="9"/>
      <c r="G83" s="9"/>
    </row>
    <row r="84" spans="1:7" ht="15" hidden="1" customHeight="1" x14ac:dyDescent="0.3">
      <c r="A84" s="70" t="str">
        <f>Просчет!A77</f>
        <v>25*200*6 сухой</v>
      </c>
      <c r="B84" s="70">
        <f>Просчет!B77</f>
        <v>0</v>
      </c>
      <c r="C84" s="70" t="str">
        <f>Просчет!C77</f>
        <v>шт</v>
      </c>
      <c r="D84" s="9"/>
      <c r="E84" s="9"/>
      <c r="F84" s="9"/>
      <c r="G84" s="9"/>
    </row>
    <row r="85" spans="1:7" ht="15" hidden="1" customHeight="1" x14ac:dyDescent="0.3">
      <c r="A85" s="70" t="str">
        <f>Просчет!A78</f>
        <v>40*50*3 сухой</v>
      </c>
      <c r="B85" s="70">
        <f>Просчет!B78</f>
        <v>0</v>
      </c>
      <c r="C85" s="70" t="str">
        <f>Просчет!C78</f>
        <v>шт</v>
      </c>
      <c r="D85" s="9"/>
      <c r="E85" s="9"/>
      <c r="F85" s="9"/>
      <c r="G85" s="9"/>
    </row>
    <row r="86" spans="1:7" ht="15" hidden="1" customHeight="1" x14ac:dyDescent="0.3">
      <c r="A86" s="70" t="str">
        <f>Просчет!A79</f>
        <v>50*50*3 сухой</v>
      </c>
      <c r="B86" s="70">
        <f>Просчет!B79</f>
        <v>0</v>
      </c>
      <c r="C86" s="70" t="str">
        <f>Просчет!C79</f>
        <v>шт</v>
      </c>
      <c r="D86" s="9"/>
      <c r="E86" s="9"/>
      <c r="F86" s="9"/>
      <c r="G86" s="9"/>
    </row>
    <row r="87" spans="1:7" ht="15" hidden="1" customHeight="1" x14ac:dyDescent="0.3">
      <c r="A87" s="70" t="str">
        <f>Просчет!A80</f>
        <v>50*100*6 сухой</v>
      </c>
      <c r="B87" s="70">
        <f>Просчет!B80</f>
        <v>0</v>
      </c>
      <c r="C87" s="70" t="str">
        <f>Просчет!C80</f>
        <v>шт</v>
      </c>
      <c r="D87" s="9"/>
      <c r="E87" s="9"/>
      <c r="F87" s="9"/>
      <c r="G87" s="9"/>
    </row>
    <row r="88" spans="1:7" ht="15" hidden="1" customHeight="1" x14ac:dyDescent="0.3">
      <c r="A88" s="70" t="str">
        <f>Просчет!A81</f>
        <v>50*150*6 сухой</v>
      </c>
      <c r="B88" s="70">
        <f>Просчет!B81</f>
        <v>0</v>
      </c>
      <c r="C88" s="70" t="str">
        <f>Просчет!C81</f>
        <v>шт</v>
      </c>
      <c r="D88" s="9"/>
      <c r="E88" s="9"/>
      <c r="F88" s="9"/>
      <c r="G88" s="9"/>
    </row>
    <row r="89" spans="1:7" ht="15" hidden="1" customHeight="1" x14ac:dyDescent="0.3">
      <c r="A89" s="70" t="str">
        <f>Просчет!A82</f>
        <v>50*200*6 сухой</v>
      </c>
      <c r="B89" s="70">
        <f>Просчет!B82</f>
        <v>0</v>
      </c>
      <c r="C89" s="70" t="str">
        <f>Просчет!C82</f>
        <v>шт</v>
      </c>
      <c r="D89" s="9"/>
      <c r="E89" s="9"/>
      <c r="F89" s="9"/>
      <c r="G89" s="9"/>
    </row>
    <row r="90" spans="1:7" ht="15" hidden="1" customHeight="1" x14ac:dyDescent="0.3">
      <c r="A90" s="70" t="str">
        <f>Просчет!A83</f>
        <v>100*100*6 сухой</v>
      </c>
      <c r="B90" s="70">
        <f>Просчет!B83</f>
        <v>0</v>
      </c>
      <c r="C90" s="70" t="str">
        <f>Просчет!C83</f>
        <v>шт</v>
      </c>
      <c r="D90" s="9"/>
      <c r="E90" s="9"/>
      <c r="F90" s="9"/>
      <c r="G90" s="9"/>
    </row>
    <row r="91" spans="1:7" ht="15" hidden="1" customHeight="1" x14ac:dyDescent="0.3">
      <c r="A91" s="70" t="str">
        <f>Просчет!A84</f>
        <v>100*150*6 сухой</v>
      </c>
      <c r="B91" s="70">
        <f>Просчет!B84</f>
        <v>0</v>
      </c>
      <c r="C91" s="70" t="str">
        <f>Просчет!C84</f>
        <v>шт</v>
      </c>
      <c r="D91" s="9"/>
      <c r="E91" s="9"/>
      <c r="F91" s="9"/>
      <c r="G91" s="9"/>
    </row>
    <row r="92" spans="1:7" ht="15" hidden="1" customHeight="1" x14ac:dyDescent="0.3">
      <c r="A92" s="70" t="str">
        <f>Просчет!A85</f>
        <v>100*200*6 сухой</v>
      </c>
      <c r="B92" s="70">
        <f>Просчет!B85</f>
        <v>0</v>
      </c>
      <c r="C92" s="70" t="str">
        <f>Просчет!C85</f>
        <v>шт</v>
      </c>
      <c r="D92" s="9"/>
      <c r="E92" s="9"/>
      <c r="F92" s="9"/>
      <c r="G92" s="9"/>
    </row>
    <row r="93" spans="1:7" ht="15" hidden="1" customHeight="1" x14ac:dyDescent="0.3">
      <c r="A93" s="70" t="str">
        <f>Просчет!A86</f>
        <v>150*150*6 сухой</v>
      </c>
      <c r="B93" s="70">
        <f>Просчет!B86</f>
        <v>0</v>
      </c>
      <c r="C93" s="70" t="str">
        <f>Просчет!C86</f>
        <v>шт</v>
      </c>
      <c r="D93" s="9"/>
      <c r="E93" s="9"/>
      <c r="F93" s="9"/>
      <c r="G93" s="9"/>
    </row>
    <row r="94" spans="1:7" ht="15" hidden="1" customHeight="1" x14ac:dyDescent="0.3">
      <c r="A94" s="70" t="str">
        <f>Просчет!A87</f>
        <v>150*200*6 сухой</v>
      </c>
      <c r="B94" s="70">
        <f>Просчет!B87</f>
        <v>0</v>
      </c>
      <c r="C94" s="70" t="str">
        <f>Просчет!C87</f>
        <v>шт</v>
      </c>
      <c r="D94" s="9"/>
      <c r="E94" s="9"/>
      <c r="F94" s="9"/>
      <c r="G94" s="9"/>
    </row>
    <row r="95" spans="1:7" ht="15" hidden="1" customHeight="1" x14ac:dyDescent="0.3">
      <c r="A95" s="70" t="str">
        <f>Просчет!A88</f>
        <v>200*200*6 сухой</v>
      </c>
      <c r="B95" s="70">
        <f>Просчет!B88</f>
        <v>0</v>
      </c>
      <c r="C95" s="70" t="str">
        <f>Просчет!C88</f>
        <v>шт</v>
      </c>
      <c r="D95" s="9"/>
      <c r="E95" s="9"/>
      <c r="F95" s="9"/>
      <c r="G95" s="9"/>
    </row>
    <row r="96" spans="1:7" ht="15" customHeight="1" x14ac:dyDescent="0.3">
      <c r="A96" s="77" t="str">
        <f>Просчет!A89</f>
        <v>Брус сухой строганый</v>
      </c>
      <c r="B96" s="71" t="s">
        <v>461</v>
      </c>
      <c r="C96" s="71" t="s">
        <v>461</v>
      </c>
      <c r="D96" s="74"/>
      <c r="E96" s="74"/>
      <c r="F96" s="74"/>
      <c r="G96" s="74"/>
    </row>
    <row r="97" spans="1:7" s="65" customFormat="1" ht="15" hidden="1" customHeight="1" x14ac:dyDescent="0.3">
      <c r="A97" s="70" t="str">
        <f>Просчет!A90</f>
        <v>20*40*3 сухой, строганный</v>
      </c>
      <c r="B97" s="70">
        <f>Просчет!B90</f>
        <v>0</v>
      </c>
      <c r="C97" s="70" t="str">
        <f>Просчет!C90</f>
        <v>шт</v>
      </c>
      <c r="D97" s="9"/>
      <c r="E97" s="9"/>
      <c r="F97" s="9"/>
      <c r="G97" s="9"/>
    </row>
    <row r="98" spans="1:7" s="65" customFormat="1" ht="15" customHeight="1" x14ac:dyDescent="0.3">
      <c r="A98" s="70" t="str">
        <f>Просчет!A91</f>
        <v>20*90*6</v>
      </c>
      <c r="B98" s="70">
        <f>Просчет!B91</f>
        <v>120</v>
      </c>
      <c r="C98" s="70" t="str">
        <f>Просчет!C91</f>
        <v>шт</v>
      </c>
      <c r="D98" s="9"/>
      <c r="E98" s="9"/>
      <c r="F98" s="9"/>
      <c r="G98" s="9"/>
    </row>
    <row r="99" spans="1:7" s="65" customFormat="1" ht="15" hidden="1" customHeight="1" x14ac:dyDescent="0.3">
      <c r="A99" s="70" t="str">
        <f>Просчет!A92</f>
        <v>25*100*6 2-й сорт сухой</v>
      </c>
      <c r="B99" s="70">
        <f>Просчет!B92</f>
        <v>0</v>
      </c>
      <c r="C99" s="70" t="str">
        <f>Просчет!C92</f>
        <v>шт</v>
      </c>
      <c r="D99" s="9"/>
      <c r="E99" s="9"/>
      <c r="F99" s="9"/>
      <c r="G99" s="9"/>
    </row>
    <row r="100" spans="1:7" ht="15" customHeight="1" x14ac:dyDescent="0.3">
      <c r="A100" s="70" t="str">
        <f>Просчет!A93</f>
        <v>40*50*3 сух, строг</v>
      </c>
      <c r="B100" s="70">
        <f>Просчет!B93</f>
        <v>198</v>
      </c>
      <c r="C100" s="70" t="str">
        <f>Просчет!C93</f>
        <v>шт</v>
      </c>
      <c r="D100" s="9"/>
      <c r="E100" s="9"/>
      <c r="F100" s="9"/>
      <c r="G100" s="9"/>
    </row>
    <row r="101" spans="1:7" ht="15" hidden="1" customHeight="1" x14ac:dyDescent="0.25">
      <c r="A101" s="70" t="str">
        <f>Просчет!A94</f>
        <v>35*90*6</v>
      </c>
      <c r="B101" s="70">
        <f>Просчет!B94</f>
        <v>0</v>
      </c>
      <c r="C101" s="70" t="str">
        <f>Просчет!C94</f>
        <v>шт</v>
      </c>
      <c r="D101" s="9"/>
      <c r="E101" s="9"/>
      <c r="F101" s="9"/>
      <c r="G101" s="9"/>
    </row>
    <row r="102" spans="1:7" ht="14.45" x14ac:dyDescent="0.3">
      <c r="A102" s="70" t="str">
        <f>Просчет!A95</f>
        <v>45*90*6</v>
      </c>
      <c r="B102" s="70">
        <f>Просчет!B95</f>
        <v>25</v>
      </c>
      <c r="C102" s="70" t="str">
        <f>Просчет!C95</f>
        <v>шт</v>
      </c>
      <c r="D102" s="9"/>
      <c r="E102" s="9"/>
      <c r="F102" s="9"/>
      <c r="G102" s="9"/>
    </row>
    <row r="103" spans="1:7" hidden="1" x14ac:dyDescent="0.25">
      <c r="A103" s="70" t="str">
        <f>Просчет!A96</f>
        <v>35*140*6</v>
      </c>
      <c r="B103" s="70">
        <f>Просчет!B96</f>
        <v>0</v>
      </c>
      <c r="C103" s="70" t="str">
        <f>Просчет!C96</f>
        <v>шт</v>
      </c>
      <c r="D103" s="9"/>
      <c r="E103" s="9"/>
      <c r="F103" s="9"/>
      <c r="G103" s="9"/>
    </row>
    <row r="104" spans="1:7" ht="16.5" customHeight="1" x14ac:dyDescent="0.3">
      <c r="A104" s="70" t="str">
        <f>Просчет!A97</f>
        <v>45*140*6</v>
      </c>
      <c r="B104" s="70">
        <f>Просчет!B97</f>
        <v>33</v>
      </c>
      <c r="C104" s="70" t="str">
        <f>Просчет!C97</f>
        <v>шт</v>
      </c>
      <c r="D104" s="9"/>
      <c r="E104" s="9"/>
      <c r="F104" s="9"/>
      <c r="G104" s="9"/>
    </row>
    <row r="105" spans="1:7" ht="16.5" hidden="1" customHeight="1" x14ac:dyDescent="0.3">
      <c r="A105" s="70" t="str">
        <f>Просчет!A98</f>
        <v>35*190*6</v>
      </c>
      <c r="B105" s="70">
        <f>Просчет!B98</f>
        <v>0</v>
      </c>
      <c r="C105" s="70" t="str">
        <f>Просчет!C98</f>
        <v>шт</v>
      </c>
      <c r="D105" s="9"/>
      <c r="E105" s="9"/>
      <c r="F105" s="9"/>
      <c r="G105" s="9"/>
    </row>
    <row r="106" spans="1:7" ht="15" hidden="1" customHeight="1" x14ac:dyDescent="0.3">
      <c r="A106" s="70" t="str">
        <f>Просчет!A99</f>
        <v>45*190*6</v>
      </c>
      <c r="B106" s="70">
        <f>Просчет!B99</f>
        <v>0</v>
      </c>
      <c r="C106" s="70" t="str">
        <f>Просчет!C99</f>
        <v>шт</v>
      </c>
      <c r="D106" s="9"/>
      <c r="E106" s="9"/>
      <c r="F106" s="9"/>
      <c r="G106" s="9"/>
    </row>
    <row r="107" spans="1:7" ht="15" customHeight="1" x14ac:dyDescent="0.3">
      <c r="A107" s="77" t="str">
        <f>Просчет!A100</f>
        <v>Проф.брус в лапу</v>
      </c>
      <c r="B107" s="71" t="s">
        <v>461</v>
      </c>
      <c r="C107" s="71" t="s">
        <v>461</v>
      </c>
      <c r="D107" s="74"/>
      <c r="E107" s="74"/>
      <c r="F107" s="74"/>
      <c r="G107" s="74"/>
    </row>
    <row r="108" spans="1:7" ht="15" hidden="1" customHeight="1" x14ac:dyDescent="0.3">
      <c r="A108" s="106" t="str">
        <f>Просчет!A101</f>
        <v>195*145*6</v>
      </c>
      <c r="B108" s="70">
        <f>Просчет!B101</f>
        <v>0</v>
      </c>
      <c r="C108" s="70" t="str">
        <f>Просчет!C101</f>
        <v>шт</v>
      </c>
      <c r="D108" s="9"/>
      <c r="E108" s="9"/>
      <c r="F108" s="9"/>
      <c r="G108" s="9"/>
    </row>
    <row r="109" spans="1:7" ht="15" hidden="1" customHeight="1" x14ac:dyDescent="0.3">
      <c r="A109" s="106" t="str">
        <f>Просчет!A102</f>
        <v>145*145*6</v>
      </c>
      <c r="B109" s="70">
        <f>Просчет!B102</f>
        <v>0</v>
      </c>
      <c r="C109" s="70" t="str">
        <f>Просчет!C102</f>
        <v>шт</v>
      </c>
      <c r="D109" s="9"/>
      <c r="E109" s="9"/>
      <c r="F109" s="9"/>
      <c r="G109" s="9"/>
    </row>
    <row r="110" spans="1:7" ht="15" hidden="1" customHeight="1" x14ac:dyDescent="0.3">
      <c r="A110" s="106" t="str">
        <f>Просчет!A103</f>
        <v>95*145*6</v>
      </c>
      <c r="B110" s="70">
        <f>Просчет!B103</f>
        <v>0</v>
      </c>
      <c r="C110" s="70" t="str">
        <f>Просчет!C103</f>
        <v>шт</v>
      </c>
      <c r="D110" s="9"/>
      <c r="E110" s="9"/>
      <c r="F110" s="9"/>
      <c r="G110" s="9"/>
    </row>
    <row r="111" spans="1:7" ht="15" hidden="1" customHeight="1" x14ac:dyDescent="0.3">
      <c r="A111" s="70" t="str">
        <f>Просчет!A104</f>
        <v>195*145 сухой</v>
      </c>
      <c r="B111" s="70">
        <f>Просчет!B104</f>
        <v>0</v>
      </c>
      <c r="C111" s="70" t="str">
        <f>Просчет!C104</f>
        <v>шт</v>
      </c>
      <c r="D111" s="9"/>
      <c r="E111" s="9"/>
      <c r="F111" s="9"/>
      <c r="G111" s="9"/>
    </row>
    <row r="112" spans="1:7" ht="14.45" hidden="1" x14ac:dyDescent="0.3">
      <c r="A112" s="70" t="str">
        <f>Просчет!A105</f>
        <v>145*145 сухой</v>
      </c>
      <c r="B112" s="70">
        <f>Просчет!B105</f>
        <v>0</v>
      </c>
      <c r="C112" s="70" t="str">
        <f>Просчет!C105</f>
        <v>шт</v>
      </c>
      <c r="D112" s="9"/>
      <c r="E112" s="9"/>
      <c r="F112" s="9"/>
      <c r="G112" s="9"/>
    </row>
    <row r="113" spans="1:7" ht="12.75" hidden="1" customHeight="1" x14ac:dyDescent="0.3">
      <c r="A113" s="70" t="str">
        <f>Просчет!A106</f>
        <v>95*145 сухой</v>
      </c>
      <c r="B113" s="70">
        <f>Просчет!B106</f>
        <v>0</v>
      </c>
      <c r="C113" s="70" t="str">
        <f>Просчет!C106</f>
        <v>шт</v>
      </c>
      <c r="D113" s="9"/>
      <c r="E113" s="9"/>
      <c r="F113" s="9"/>
      <c r="G113" s="9"/>
    </row>
    <row r="114" spans="1:7" ht="15" customHeight="1" x14ac:dyDescent="0.3">
      <c r="A114" s="77" t="str">
        <f>Просчет!A107</f>
        <v>ОЦБ и проф.брус в чашу</v>
      </c>
      <c r="B114" s="71" t="s">
        <v>461</v>
      </c>
      <c r="C114" s="71" t="s">
        <v>461</v>
      </c>
      <c r="D114" s="74"/>
      <c r="E114" s="74"/>
      <c r="F114" s="74"/>
      <c r="G114" s="74"/>
    </row>
    <row r="115" spans="1:7" ht="15" hidden="1" customHeight="1" x14ac:dyDescent="0.3">
      <c r="A115" s="70" t="str">
        <f>Просчет!A108</f>
        <v>195*145 сухой (в чашу)</v>
      </c>
      <c r="B115" s="70">
        <f>Просчет!B108</f>
        <v>0</v>
      </c>
      <c r="C115" s="70" t="str">
        <f>Просчет!C108</f>
        <v>м3</v>
      </c>
      <c r="D115" s="9"/>
      <c r="E115" s="9"/>
      <c r="F115" s="9"/>
      <c r="G115" s="9"/>
    </row>
    <row r="116" spans="1:7" ht="15" hidden="1" customHeight="1" x14ac:dyDescent="0.3">
      <c r="A116" s="70" t="str">
        <f>Просчет!A109</f>
        <v>145*145 сухой (в чашу)</v>
      </c>
      <c r="B116" s="70">
        <f>Просчет!B109</f>
        <v>0</v>
      </c>
      <c r="C116" s="70" t="str">
        <f>Просчет!C109</f>
        <v>м3</v>
      </c>
      <c r="D116" s="9"/>
      <c r="E116" s="9"/>
      <c r="F116" s="9"/>
      <c r="G116" s="9"/>
    </row>
    <row r="117" spans="1:7" ht="15" hidden="1" customHeight="1" x14ac:dyDescent="0.3">
      <c r="A117" s="70" t="str">
        <f>Просчет!A110</f>
        <v>95*145 сухой (в чашу)</v>
      </c>
      <c r="B117" s="70">
        <f>Просчет!B110</f>
        <v>0</v>
      </c>
      <c r="C117" s="70" t="str">
        <f>Просчет!C110</f>
        <v>м3</v>
      </c>
      <c r="D117" s="9"/>
      <c r="E117" s="9"/>
      <c r="F117" s="9"/>
      <c r="G117" s="9"/>
    </row>
    <row r="118" spans="1:7" ht="15" hidden="1" customHeight="1" x14ac:dyDescent="0.3">
      <c r="A118" s="70" t="str">
        <f>Просчет!A111</f>
        <v>ОЦБ ф18</v>
      </c>
      <c r="B118" s="70">
        <f>Просчет!B111</f>
        <v>0</v>
      </c>
      <c r="C118" s="70" t="str">
        <f>Просчет!C111</f>
        <v>м3</v>
      </c>
      <c r="D118" s="9"/>
      <c r="E118" s="9"/>
      <c r="F118" s="9"/>
      <c r="G118" s="9"/>
    </row>
    <row r="119" spans="1:7" ht="15" hidden="1" customHeight="1" x14ac:dyDescent="0.3">
      <c r="A119" s="70" t="str">
        <f>Просчет!A112</f>
        <v>ОЦБ ф20</v>
      </c>
      <c r="B119" s="70">
        <f>Просчет!B112</f>
        <v>0</v>
      </c>
      <c r="C119" s="70" t="str">
        <f>Просчет!C112</f>
        <v>м3</v>
      </c>
      <c r="D119" s="9"/>
      <c r="E119" s="9"/>
      <c r="F119" s="9"/>
      <c r="G119" s="9"/>
    </row>
    <row r="120" spans="1:7" ht="15" hidden="1" customHeight="1" x14ac:dyDescent="0.3">
      <c r="A120" s="70" t="str">
        <f>Просчет!A113</f>
        <v>ОЦБ ф22</v>
      </c>
      <c r="B120" s="70">
        <f>Просчет!B113</f>
        <v>0</v>
      </c>
      <c r="C120" s="70" t="str">
        <f>Просчет!C113</f>
        <v>м3</v>
      </c>
      <c r="D120" s="9"/>
      <c r="E120" s="9"/>
      <c r="F120" s="9"/>
      <c r="G120" s="9"/>
    </row>
    <row r="121" spans="1:7" ht="15" hidden="1" customHeight="1" x14ac:dyDescent="0.3">
      <c r="A121" s="70" t="str">
        <f>Просчет!A114</f>
        <v>ОЦБ ф24</v>
      </c>
      <c r="B121" s="70">
        <f>Просчет!B114</f>
        <v>0</v>
      </c>
      <c r="C121" s="70" t="str">
        <f>Просчет!C114</f>
        <v>м3</v>
      </c>
      <c r="D121" s="9"/>
      <c r="E121" s="9"/>
      <c r="F121" s="9"/>
      <c r="G121" s="9"/>
    </row>
    <row r="122" spans="1:7" ht="15" hidden="1" customHeight="1" x14ac:dyDescent="0.3">
      <c r="A122" s="70" t="str">
        <f>Просчет!A115</f>
        <v>ОЦБ ф24 (финский профиль)</v>
      </c>
      <c r="B122" s="70">
        <f>Просчет!B115</f>
        <v>0</v>
      </c>
      <c r="C122" s="70" t="str">
        <f>Просчет!C115</f>
        <v>м3</v>
      </c>
      <c r="D122" s="9"/>
      <c r="E122" s="9"/>
      <c r="F122" s="9"/>
      <c r="G122" s="9"/>
    </row>
    <row r="123" spans="1:7" ht="15" hidden="1" customHeight="1" x14ac:dyDescent="0.3">
      <c r="A123" s="70" t="str">
        <f>Просчет!A116</f>
        <v>ОЦБ ф26</v>
      </c>
      <c r="B123" s="70">
        <f>Просчет!B116</f>
        <v>0</v>
      </c>
      <c r="C123" s="70" t="str">
        <f>Просчет!C116</f>
        <v>м3</v>
      </c>
      <c r="D123" s="9"/>
      <c r="E123" s="9"/>
      <c r="F123" s="9"/>
      <c r="G123" s="9"/>
    </row>
    <row r="124" spans="1:7" ht="15" customHeight="1" x14ac:dyDescent="0.3">
      <c r="A124" s="77" t="str">
        <f>Просчет!A117</f>
        <v>Отделочные материалы</v>
      </c>
      <c r="B124" s="71" t="s">
        <v>461</v>
      </c>
      <c r="C124" s="71" t="s">
        <v>461</v>
      </c>
      <c r="D124" s="74"/>
      <c r="E124" s="74"/>
      <c r="F124" s="74"/>
      <c r="G124" s="74"/>
    </row>
    <row r="125" spans="1:7" ht="15" hidden="1" customHeight="1" x14ac:dyDescent="0.3">
      <c r="A125" s="70" t="str">
        <f>Просчет!A118</f>
        <v>Террасная доска 112х24 - 6м, Сорт АВ</v>
      </c>
      <c r="B125" s="70">
        <f>Просчет!B118</f>
        <v>0</v>
      </c>
      <c r="C125" s="70" t="str">
        <f>Просчет!C118</f>
        <v>м2</v>
      </c>
      <c r="D125" s="9"/>
      <c r="E125" s="9"/>
      <c r="F125" s="9"/>
      <c r="G125" s="9"/>
    </row>
    <row r="126" spans="1:7" ht="15" hidden="1" customHeight="1" x14ac:dyDescent="0.3">
      <c r="A126" s="70" t="str">
        <f>Просчет!A119</f>
        <v>Калибровка 140х35- 6м</v>
      </c>
      <c r="B126" s="70">
        <f>Просчет!B119</f>
        <v>0</v>
      </c>
      <c r="C126" s="70" t="str">
        <f>Просчет!C119</f>
        <v>шт</v>
      </c>
      <c r="D126" s="9"/>
      <c r="E126" s="9"/>
      <c r="F126" s="9"/>
      <c r="G126" s="9"/>
    </row>
    <row r="127" spans="1:7" ht="15" hidden="1" customHeight="1" x14ac:dyDescent="0.3">
      <c r="A127" s="70" t="str">
        <f>Просчет!A120</f>
        <v>Шпунтовка 90х26 - 6м, Сорт АВ</v>
      </c>
      <c r="B127" s="70">
        <f>Просчет!B120</f>
        <v>0</v>
      </c>
      <c r="C127" s="70" t="str">
        <f>Просчет!C120</f>
        <v>м2</v>
      </c>
      <c r="D127" s="9"/>
      <c r="E127" s="9"/>
      <c r="F127" s="9"/>
      <c r="G127" s="9"/>
    </row>
    <row r="128" spans="1:7" ht="15" hidden="1" customHeight="1" x14ac:dyDescent="0.3">
      <c r="A128" s="70" t="str">
        <f>Просчет!A121</f>
        <v>Шпунтовка 135х35 - 6м, Сорт АВ</v>
      </c>
      <c r="B128" s="70">
        <f>Просчет!B121</f>
        <v>0</v>
      </c>
      <c r="C128" s="70" t="str">
        <f>Просчет!C121</f>
        <v>м2</v>
      </c>
      <c r="D128" s="9"/>
      <c r="E128" s="9"/>
      <c r="F128" s="9"/>
      <c r="G128" s="9"/>
    </row>
    <row r="129" spans="1:7" ht="15" hidden="1" customHeight="1" x14ac:dyDescent="0.3">
      <c r="A129" s="70" t="str">
        <f>Просчет!A122</f>
        <v>ОСБ-3 9мм</v>
      </c>
      <c r="B129" s="70">
        <f>Просчет!B122</f>
        <v>0</v>
      </c>
      <c r="C129" s="70" t="str">
        <f>Просчет!C122</f>
        <v>шт</v>
      </c>
      <c r="D129" s="9"/>
      <c r="E129" s="9"/>
      <c r="F129" s="9"/>
      <c r="G129" s="9"/>
    </row>
    <row r="130" spans="1:7" ht="15" hidden="1" customHeight="1" x14ac:dyDescent="0.3">
      <c r="A130" s="70" t="str">
        <f>Просчет!A123</f>
        <v>ОСБ-3 12мм</v>
      </c>
      <c r="B130" s="70">
        <f>Просчет!B123</f>
        <v>0</v>
      </c>
      <c r="C130" s="70" t="str">
        <f>Просчет!C123</f>
        <v>шт</v>
      </c>
      <c r="D130" s="9"/>
      <c r="E130" s="9"/>
      <c r="F130" s="9"/>
      <c r="G130" s="9"/>
    </row>
    <row r="131" spans="1:7" ht="15" hidden="1" customHeight="1" x14ac:dyDescent="0.3">
      <c r="A131" s="70" t="str">
        <f>Просчет!A124</f>
        <v>Фанера 12</v>
      </c>
      <c r="B131" s="70">
        <f>Просчет!B124</f>
        <v>0</v>
      </c>
      <c r="C131" s="70" t="str">
        <f>Просчет!C124</f>
        <v>шт</v>
      </c>
      <c r="D131" s="9"/>
      <c r="E131" s="9"/>
      <c r="F131" s="9"/>
      <c r="G131" s="9"/>
    </row>
    <row r="132" spans="1:7" ht="15" hidden="1" customHeight="1" x14ac:dyDescent="0.3">
      <c r="A132" s="70" t="str">
        <f>Просчет!A125</f>
        <v>ЦСП 10</v>
      </c>
      <c r="B132" s="70">
        <f>Просчет!B125</f>
        <v>0</v>
      </c>
      <c r="C132" s="70" t="str">
        <f>Просчет!C125</f>
        <v>шт</v>
      </c>
      <c r="D132" s="9"/>
      <c r="E132" s="9"/>
      <c r="F132" s="9"/>
      <c r="G132" s="9"/>
    </row>
    <row r="133" spans="1:7" ht="14.45" hidden="1" x14ac:dyDescent="0.3">
      <c r="A133" s="70" t="str">
        <f>Просчет!A126</f>
        <v>ЦСП 12</v>
      </c>
      <c r="B133" s="70">
        <f>Просчет!B126</f>
        <v>0</v>
      </c>
      <c r="C133" s="70" t="str">
        <f>Просчет!C126</f>
        <v>шт</v>
      </c>
      <c r="D133" s="9"/>
      <c r="E133" s="9"/>
      <c r="F133" s="9"/>
      <c r="G133" s="9"/>
    </row>
    <row r="134" spans="1:7" ht="14.45" x14ac:dyDescent="0.3">
      <c r="A134" s="70" t="str">
        <f>Просчет!A127</f>
        <v>Гипрок Стронг 15мм</v>
      </c>
      <c r="B134" s="70">
        <f>Просчет!B127</f>
        <v>25</v>
      </c>
      <c r="C134" s="70" t="str">
        <f>Просчет!C127</f>
        <v>шт</v>
      </c>
      <c r="D134" s="9"/>
      <c r="E134" s="9"/>
      <c r="F134" s="9"/>
      <c r="G134" s="9"/>
    </row>
    <row r="135" spans="1:7" ht="14.45" hidden="1" x14ac:dyDescent="0.3">
      <c r="A135" s="70" t="str">
        <f>Просчет!A128</f>
        <v>Гипрок Стронг Аква 15мм</v>
      </c>
      <c r="B135" s="70">
        <f>Просчет!B128</f>
        <v>0</v>
      </c>
      <c r="C135" s="70" t="str">
        <f>Просчет!C128</f>
        <v>шт</v>
      </c>
      <c r="D135" s="9"/>
      <c r="E135" s="9"/>
      <c r="F135" s="9"/>
      <c r="G135" s="9"/>
    </row>
    <row r="136" spans="1:7" ht="15" hidden="1" customHeight="1" x14ac:dyDescent="0.3">
      <c r="A136" s="70" t="str">
        <f>Просчет!A129</f>
        <v>GTS, 9,5мм</v>
      </c>
      <c r="B136" s="70">
        <f>Просчет!B129</f>
        <v>0</v>
      </c>
      <c r="C136" s="70" t="str">
        <f>Просчет!C129</f>
        <v>шт</v>
      </c>
      <c r="D136" s="9"/>
      <c r="E136" s="9"/>
      <c r="F136" s="9"/>
      <c r="G136" s="9"/>
    </row>
    <row r="137" spans="1:7" ht="15" hidden="1" customHeight="1" x14ac:dyDescent="0.3">
      <c r="A137" s="70" t="str">
        <f>Просчет!A130</f>
        <v>Гипрок Лайт Аква 9,5мм</v>
      </c>
      <c r="B137" s="70">
        <f>Просчет!B130</f>
        <v>0</v>
      </c>
      <c r="C137" s="70" t="str">
        <f>Просчет!C130</f>
        <v>шт</v>
      </c>
      <c r="D137" s="9"/>
      <c r="E137" s="9"/>
      <c r="F137" s="9"/>
      <c r="G137" s="9"/>
    </row>
    <row r="138" spans="1:7" ht="15" hidden="1" customHeight="1" x14ac:dyDescent="0.3">
      <c r="A138" s="70" t="str">
        <f>Просчет!A131</f>
        <v>Сайдинг Docke Lux Блок-Хаус</v>
      </c>
      <c r="B138" s="70">
        <f>Просчет!B131</f>
        <v>0</v>
      </c>
      <c r="C138" s="70" t="str">
        <f>Просчет!C131</f>
        <v>м2</v>
      </c>
      <c r="D138" s="9"/>
      <c r="E138" s="9"/>
      <c r="F138" s="9"/>
      <c r="G138" s="9"/>
    </row>
    <row r="139" spans="1:7" ht="15" hidden="1" customHeight="1" x14ac:dyDescent="0.3">
      <c r="A139" s="70" t="str">
        <f>Просчет!A132</f>
        <v>Панель Vox Solid Brick Regular (цвет - York)</v>
      </c>
      <c r="B139" s="70">
        <f>Просчет!B132</f>
        <v>0</v>
      </c>
      <c r="C139" s="70" t="str">
        <f>Просчет!C132</f>
        <v>м2</v>
      </c>
      <c r="D139" s="9"/>
      <c r="E139" s="9"/>
      <c r="F139" s="9"/>
      <c r="G139" s="9"/>
    </row>
    <row r="140" spans="1:7" ht="15" hidden="1" customHeight="1" x14ac:dyDescent="0.3">
      <c r="A140" s="70" t="str">
        <f>Просчет!A133</f>
        <v>HAUBERK ТЕХНОНИКОЛЬ Терракотовый кирпич</v>
      </c>
      <c r="B140" s="70">
        <f>Просчет!B133</f>
        <v>0</v>
      </c>
      <c r="C140" s="70" t="str">
        <f>Просчет!C133</f>
        <v>м2</v>
      </c>
      <c r="D140" s="9"/>
      <c r="E140" s="9"/>
      <c r="F140" s="9"/>
      <c r="G140" s="9"/>
    </row>
    <row r="141" spans="1:7" ht="15" hidden="1" customHeight="1" x14ac:dyDescent="0.3">
      <c r="A141" s="70" t="str">
        <f>Просчет!A134</f>
        <v>Вагонка 90х12,5 - 6м, Сорт АВ (карнизы)</v>
      </c>
      <c r="B141" s="70">
        <f>Просчет!B134</f>
        <v>0</v>
      </c>
      <c r="C141" s="70" t="str">
        <f>Просчет!C134</f>
        <v>м2</v>
      </c>
      <c r="D141" s="9"/>
      <c r="E141" s="9"/>
      <c r="F141" s="9"/>
      <c r="G141" s="9"/>
    </row>
    <row r="142" spans="1:7" ht="15" hidden="1" customHeight="1" x14ac:dyDescent="0.3">
      <c r="A142" s="70" t="str">
        <f>Просчет!A135</f>
        <v>Вагонка 90х12,5 - 6м, Сорт АВ (внутренняя отделка)</v>
      </c>
      <c r="B142" s="70">
        <f>Просчет!B135</f>
        <v>0</v>
      </c>
      <c r="C142" s="70" t="str">
        <f>Просчет!C135</f>
        <v>м2</v>
      </c>
      <c r="D142" s="9"/>
      <c r="E142" s="9"/>
      <c r="F142" s="9"/>
      <c r="G142" s="9"/>
    </row>
    <row r="143" spans="1:7" ht="15" hidden="1" customHeight="1" x14ac:dyDescent="0.3">
      <c r="A143" s="70" t="str">
        <f>Просчет!A136</f>
        <v>Вагонка 90х12,5 - 6м, Сорт Эконом (карнизы)</v>
      </c>
      <c r="B143" s="70">
        <f>Просчет!B136</f>
        <v>0</v>
      </c>
      <c r="C143" s="70" t="str">
        <f>Просчет!C136</f>
        <v>м2</v>
      </c>
      <c r="D143" s="9"/>
      <c r="E143" s="9"/>
      <c r="F143" s="9"/>
      <c r="G143" s="9"/>
    </row>
    <row r="144" spans="1:7" ht="15" customHeight="1" x14ac:dyDescent="0.3">
      <c r="A144" s="70" t="str">
        <f>Просчет!A137</f>
        <v>Планкен 145х19- 6м, Сорт АВ (карнизы)</v>
      </c>
      <c r="B144" s="70">
        <f>Просчет!B137</f>
        <v>99</v>
      </c>
      <c r="C144" s="70" t="str">
        <f>Просчет!C137</f>
        <v>м2</v>
      </c>
      <c r="D144" s="9"/>
      <c r="E144" s="9"/>
      <c r="F144" s="9"/>
      <c r="G144" s="9"/>
    </row>
    <row r="145" spans="1:7" ht="15" customHeight="1" x14ac:dyDescent="0.3">
      <c r="A145" s="70" t="str">
        <f>Просчет!A138</f>
        <v>Планкен 145х19- 6м, Сорт АВ (наружная отделка)</v>
      </c>
      <c r="B145" s="70">
        <f>Просчет!B138</f>
        <v>141</v>
      </c>
      <c r="C145" s="70" t="str">
        <f>Просчет!C138</f>
        <v>м2</v>
      </c>
      <c r="D145" s="9"/>
      <c r="E145" s="9"/>
      <c r="F145" s="9"/>
      <c r="G145" s="9"/>
    </row>
    <row r="146" spans="1:7" ht="15" hidden="1" customHeight="1" x14ac:dyDescent="0.3">
      <c r="A146" s="70" t="str">
        <f>Просчет!A139</f>
        <v>Рау-хаус 135х16- 6м, Сорт АВ (внутренняя отделка)</v>
      </c>
      <c r="B146" s="70">
        <f>Просчет!B139</f>
        <v>0</v>
      </c>
      <c r="C146" s="70" t="str">
        <f>Просчет!C139</f>
        <v>м2</v>
      </c>
      <c r="D146" s="9"/>
      <c r="E146" s="9"/>
      <c r="F146" s="9"/>
      <c r="G146" s="9"/>
    </row>
    <row r="147" spans="1:7" ht="15" hidden="1" customHeight="1" x14ac:dyDescent="0.3">
      <c r="A147" s="70" t="str">
        <f>Просчет!A140</f>
        <v>Рау-хаус 185х21- 6м, Сорт АВ</v>
      </c>
      <c r="B147" s="70">
        <f>Просчет!B140</f>
        <v>0</v>
      </c>
      <c r="C147" s="70" t="str">
        <f>Просчет!C140</f>
        <v>м2</v>
      </c>
      <c r="D147" s="9"/>
      <c r="E147" s="9"/>
      <c r="F147" s="9"/>
      <c r="G147" s="9"/>
    </row>
    <row r="148" spans="1:7" ht="15" hidden="1" customHeight="1" x14ac:dyDescent="0.3">
      <c r="A148" s="70" t="str">
        <f>Просчет!A141</f>
        <v>Рау-хаус 110х16- 6м, Сорт АВ (наружная отделка)</v>
      </c>
      <c r="B148" s="70">
        <f>Просчет!B141</f>
        <v>0</v>
      </c>
      <c r="C148" s="70" t="str">
        <f>Просчет!C141</f>
        <v>м2</v>
      </c>
      <c r="D148" s="9"/>
      <c r="E148" s="9"/>
      <c r="F148" s="9"/>
      <c r="G148" s="9"/>
    </row>
    <row r="149" spans="1:7" ht="15" hidden="1" customHeight="1" x14ac:dyDescent="0.3">
      <c r="A149" s="70" t="str">
        <f>Просчет!A142</f>
        <v>Рау-хаус 110х16- 6м, Сорт АВ (внутренняя отделка)</v>
      </c>
      <c r="B149" s="70">
        <f>Просчет!B142</f>
        <v>0</v>
      </c>
      <c r="C149" s="70" t="str">
        <f>Просчет!C142</f>
        <v>м2</v>
      </c>
      <c r="D149" s="9"/>
      <c r="E149" s="9"/>
      <c r="F149" s="9"/>
      <c r="G149" s="9"/>
    </row>
    <row r="150" spans="1:7" ht="15" hidden="1" customHeight="1" x14ac:dyDescent="0.3">
      <c r="A150" s="70" t="str">
        <f>Просчет!A143</f>
        <v>Финский профиль, С (0,135)</v>
      </c>
      <c r="B150" s="70">
        <f>Просчет!B143</f>
        <v>0</v>
      </c>
      <c r="C150" s="70" t="str">
        <f>Просчет!C143</f>
        <v>м2</v>
      </c>
      <c r="D150" s="9"/>
      <c r="E150" s="9"/>
      <c r="F150" s="9"/>
      <c r="G150" s="9"/>
    </row>
    <row r="151" spans="1:7" ht="15" hidden="1" customHeight="1" x14ac:dyDescent="0.3">
      <c r="A151" s="70" t="str">
        <f>Просчет!A144</f>
        <v>Блок-хаус, АВ (0,135)</v>
      </c>
      <c r="B151" s="70">
        <f>Просчет!B144</f>
        <v>0</v>
      </c>
      <c r="C151" s="70" t="str">
        <f>Просчет!C144</f>
        <v>м2</v>
      </c>
      <c r="D151" s="9"/>
      <c r="E151" s="9"/>
      <c r="F151" s="9"/>
      <c r="G151" s="9"/>
    </row>
    <row r="152" spans="1:7" ht="15" hidden="1" customHeight="1" x14ac:dyDescent="0.3">
      <c r="A152" s="70" t="str">
        <f>Просчет!A145</f>
        <v>Блок-хаус, С (0,135)</v>
      </c>
      <c r="B152" s="70">
        <f>Просчет!B145</f>
        <v>0</v>
      </c>
      <c r="C152" s="70" t="str">
        <f>Просчет!C145</f>
        <v>м2</v>
      </c>
      <c r="D152" s="9"/>
      <c r="E152" s="9"/>
      <c r="F152" s="9"/>
      <c r="G152" s="9"/>
    </row>
    <row r="153" spans="1:7" ht="15" hidden="1" customHeight="1" x14ac:dyDescent="0.3">
      <c r="A153" s="70" t="str">
        <f>Просчет!A146</f>
        <v>Укладка плитки Заказчика</v>
      </c>
      <c r="B153" s="70">
        <f>Просчет!B146</f>
        <v>0</v>
      </c>
      <c r="C153" s="70" t="str">
        <f>Просчет!C146</f>
        <v>компл.</v>
      </c>
      <c r="D153" s="9"/>
      <c r="E153" s="9"/>
      <c r="F153" s="9"/>
      <c r="G153" s="9"/>
    </row>
    <row r="154" spans="1:7" ht="15" hidden="1" customHeight="1" x14ac:dyDescent="0.3">
      <c r="A154" s="70" t="str">
        <f>Просчет!A147</f>
        <v>Укладка ламината Заказчика</v>
      </c>
      <c r="B154" s="70">
        <f>Просчет!B147</f>
        <v>0</v>
      </c>
      <c r="C154" s="70" t="str">
        <f>Просчет!C147</f>
        <v>компл.</v>
      </c>
      <c r="D154" s="9"/>
      <c r="E154" s="9"/>
      <c r="F154" s="9"/>
      <c r="G154" s="9"/>
    </row>
    <row r="155" spans="1:7" ht="15" hidden="1" customHeight="1" x14ac:dyDescent="0.3">
      <c r="A155" s="70" t="str">
        <f>Просчет!A148</f>
        <v>Монтаж обоев Заказчика</v>
      </c>
      <c r="B155" s="70">
        <f>Просчет!B148</f>
        <v>0</v>
      </c>
      <c r="C155" s="70" t="str">
        <f>Просчет!C148</f>
        <v>компл.</v>
      </c>
      <c r="D155" s="9"/>
      <c r="E155" s="9"/>
      <c r="F155" s="9"/>
      <c r="G155" s="9"/>
    </row>
    <row r="156" spans="1:7" ht="15" hidden="1" customHeight="1" x14ac:dyDescent="0.3">
      <c r="A156" s="70" t="str">
        <f>Просчет!A149</f>
        <v>Натяжной потолок (белый, матовый)</v>
      </c>
      <c r="B156" s="70">
        <f>Просчет!B149</f>
        <v>0</v>
      </c>
      <c r="C156" s="70" t="str">
        <f>Просчет!C149</f>
        <v>м2</v>
      </c>
      <c r="D156" s="9"/>
      <c r="E156" s="9"/>
      <c r="F156" s="9"/>
      <c r="G156" s="9"/>
    </row>
    <row r="157" spans="1:7" ht="15" customHeight="1" x14ac:dyDescent="0.3">
      <c r="A157" s="77" t="str">
        <f>Просчет!A150</f>
        <v>Окна и двери</v>
      </c>
      <c r="B157" s="71" t="s">
        <v>461</v>
      </c>
      <c r="C157" s="71" t="s">
        <v>461</v>
      </c>
      <c r="D157" s="74"/>
      <c r="E157" s="74"/>
      <c r="F157" s="74"/>
      <c r="G157" s="74"/>
    </row>
    <row r="158" spans="1:7" ht="15" hidden="1" customHeight="1" x14ac:dyDescent="0.3">
      <c r="A158" s="70" t="str">
        <f>Просчет!A151</f>
        <v>Окна ПВХ</v>
      </c>
      <c r="B158" s="70">
        <f>Просчет!B151</f>
        <v>0</v>
      </c>
      <c r="C158" s="70" t="str">
        <f>Просчет!C151</f>
        <v>шт</v>
      </c>
      <c r="D158" s="9"/>
      <c r="E158" s="9"/>
      <c r="F158" s="9"/>
      <c r="G158" s="9"/>
    </row>
    <row r="159" spans="1:7" ht="15" hidden="1" customHeight="1" x14ac:dyDescent="0.3">
      <c r="A159" s="70" t="str">
        <f>Просчет!A152</f>
        <v>Двери МДФ, белые(полот., пет, ручки, обн. кор.)</v>
      </c>
      <c r="B159" s="70">
        <f>Просчет!B152</f>
        <v>0</v>
      </c>
      <c r="C159" s="70" t="str">
        <f>Просчет!C152</f>
        <v>шт</v>
      </c>
      <c r="D159" s="9"/>
      <c r="E159" s="9"/>
      <c r="F159" s="9"/>
      <c r="G159" s="9"/>
    </row>
    <row r="160" spans="1:7" ht="15" hidden="1" customHeight="1" x14ac:dyDescent="0.3">
      <c r="A160" s="70" t="str">
        <f>Просчет!A153</f>
        <v>Дверь межкомнатные Браво с фурнитурой</v>
      </c>
      <c r="B160" s="70">
        <f>Просчет!B153</f>
        <v>0</v>
      </c>
      <c r="C160" s="70" t="str">
        <f>Просчет!C153</f>
        <v>шт</v>
      </c>
      <c r="D160" s="9"/>
      <c r="E160" s="9"/>
      <c r="F160" s="9"/>
      <c r="G160" s="9"/>
    </row>
    <row r="161" spans="1:7" ht="15" hidden="1" customHeight="1" x14ac:dyDescent="0.3">
      <c r="A161" s="70" t="str">
        <f>Просчет!A154</f>
        <v>Дверь филенчатая 60 см (компл.)</v>
      </c>
      <c r="B161" s="70">
        <f>Просчет!B154</f>
        <v>0</v>
      </c>
      <c r="C161" s="70" t="str">
        <f>Просчет!C154</f>
        <v>шт</v>
      </c>
      <c r="D161" s="9"/>
      <c r="E161" s="9"/>
      <c r="F161" s="9"/>
      <c r="G161" s="9"/>
    </row>
    <row r="162" spans="1:7" ht="15" hidden="1" customHeight="1" x14ac:dyDescent="0.3">
      <c r="A162" s="70" t="str">
        <f>Просчет!A155</f>
        <v>Дверь филенчатая 70 см (компл.)</v>
      </c>
      <c r="B162" s="70">
        <f>Просчет!B155</f>
        <v>0</v>
      </c>
      <c r="C162" s="70" t="str">
        <f>Просчет!C155</f>
        <v>шт</v>
      </c>
      <c r="D162" s="9"/>
      <c r="E162" s="9"/>
      <c r="F162" s="9"/>
      <c r="G162" s="9"/>
    </row>
    <row r="163" spans="1:7" ht="15" hidden="1" customHeight="1" x14ac:dyDescent="0.3">
      <c r="A163" s="70" t="str">
        <f>Просчет!A156</f>
        <v>Дверь филенчатая 80 см (компл.)</v>
      </c>
      <c r="B163" s="70">
        <f>Просчет!B156</f>
        <v>0</v>
      </c>
      <c r="C163" s="70" t="str">
        <f>Просчет!C156</f>
        <v>шт</v>
      </c>
      <c r="D163" s="9"/>
      <c r="E163" s="9"/>
      <c r="F163" s="9"/>
      <c r="G163" s="9"/>
    </row>
    <row r="164" spans="1:7" ht="15" hidden="1" customHeight="1" x14ac:dyDescent="0.3">
      <c r="A164" s="70" t="str">
        <f>Просчет!A157</f>
        <v>Дверь филенчатая 90 см (компл.)</v>
      </c>
      <c r="B164" s="70">
        <f>Просчет!B157</f>
        <v>0</v>
      </c>
      <c r="C164" s="70" t="str">
        <f>Просчет!C157</f>
        <v>шт</v>
      </c>
      <c r="D164" s="9"/>
      <c r="E164" s="9"/>
      <c r="F164" s="9"/>
      <c r="G164" s="9"/>
    </row>
    <row r="165" spans="1:7" ht="15" hidden="1" customHeight="1" x14ac:dyDescent="0.3">
      <c r="A165" s="70" t="str">
        <f>Просчет!A158</f>
        <v>Дверь банная</v>
      </c>
      <c r="B165" s="70">
        <f>Просчет!B158</f>
        <v>0</v>
      </c>
      <c r="C165" s="70" t="str">
        <f>Просчет!C158</f>
        <v>шт</v>
      </c>
      <c r="D165" s="9"/>
      <c r="E165" s="9"/>
      <c r="F165" s="9"/>
      <c r="G165" s="9"/>
    </row>
    <row r="166" spans="1:7" ht="15" hidden="1" customHeight="1" x14ac:dyDescent="0.3">
      <c r="A166" s="70" t="str">
        <f>Просчет!A159</f>
        <v>Дверь банная со стеклом</v>
      </c>
      <c r="B166" s="70">
        <f>Просчет!B159</f>
        <v>0</v>
      </c>
      <c r="C166" s="70" t="str">
        <f>Просчет!C159</f>
        <v>шт</v>
      </c>
      <c r="D166" s="9"/>
      <c r="E166" s="9"/>
      <c r="F166" s="9"/>
      <c r="G166" s="9"/>
    </row>
    <row r="167" spans="1:7" ht="15" hidden="1" customHeight="1" x14ac:dyDescent="0.3">
      <c r="A167" s="70" t="str">
        <f>Просчет!A160</f>
        <v>Дверь стеклянная</v>
      </c>
      <c r="B167" s="70">
        <f>Просчет!B160</f>
        <v>0</v>
      </c>
      <c r="C167" s="70" t="str">
        <f>Просчет!C160</f>
        <v>шт</v>
      </c>
      <c r="D167" s="9"/>
      <c r="E167" s="9"/>
      <c r="F167" s="9"/>
      <c r="G167" s="9"/>
    </row>
    <row r="168" spans="1:7" ht="15" hidden="1" customHeight="1" x14ac:dyDescent="0.3">
      <c r="A168" s="70" t="str">
        <f>Просчет!A161</f>
        <v>Дверь входная 1,2мм РФ левая не утепленная</v>
      </c>
      <c r="B168" s="70">
        <f>Просчет!B161</f>
        <v>0</v>
      </c>
      <c r="C168" s="70" t="str">
        <f>Просчет!C161</f>
        <v>шт</v>
      </c>
      <c r="D168" s="9"/>
      <c r="E168" s="9"/>
      <c r="F168" s="9"/>
      <c r="G168" s="9"/>
    </row>
    <row r="169" spans="1:7" ht="15" hidden="1" customHeight="1" x14ac:dyDescent="0.3">
      <c r="A169" s="70" t="str">
        <f>Просчет!A162</f>
        <v>Дверь входная 1,2мм РФ правая не утепленная</v>
      </c>
      <c r="B169" s="70">
        <f>Просчет!B162</f>
        <v>0</v>
      </c>
      <c r="C169" s="70" t="str">
        <f>Просчет!C162</f>
        <v>шт</v>
      </c>
      <c r="D169" s="9"/>
      <c r="E169" s="9"/>
      <c r="F169" s="9"/>
      <c r="G169" s="9"/>
    </row>
    <row r="170" spans="1:7" ht="15" hidden="1" customHeight="1" x14ac:dyDescent="0.3">
      <c r="A170" s="70" t="str">
        <f>Просчет!A163</f>
        <v>Дверь входная 1,5мм РФ левая утепленная</v>
      </c>
      <c r="B170" s="70">
        <f>Просчет!B163</f>
        <v>0</v>
      </c>
      <c r="C170" s="70" t="str">
        <f>Просчет!C163</f>
        <v>шт</v>
      </c>
      <c r="D170" s="9"/>
      <c r="E170" s="9"/>
      <c r="F170" s="9"/>
      <c r="G170" s="9"/>
    </row>
    <row r="171" spans="1:7" ht="15" hidden="1" customHeight="1" x14ac:dyDescent="0.3">
      <c r="A171" s="70" t="str">
        <f>Просчет!A164</f>
        <v>Дверь входная 1,5мм РФ правая утепленная</v>
      </c>
      <c r="B171" s="70">
        <f>Просчет!B164</f>
        <v>0</v>
      </c>
      <c r="C171" s="70" t="str">
        <f>Просчет!C164</f>
        <v>шт</v>
      </c>
      <c r="D171" s="9"/>
      <c r="E171" s="9"/>
      <c r="F171" s="9"/>
      <c r="G171" s="9"/>
    </row>
    <row r="172" spans="1:7" ht="15" hidden="1" customHeight="1" x14ac:dyDescent="0.3">
      <c r="A172" s="70" t="str">
        <f>Просчет!A165</f>
        <v>Дверь входная с терморазрывом левая</v>
      </c>
      <c r="B172" s="70">
        <f>Просчет!B165</f>
        <v>0</v>
      </c>
      <c r="C172" s="70" t="str">
        <f>Просчет!C165</f>
        <v>шт</v>
      </c>
      <c r="D172" s="9"/>
      <c r="E172" s="9"/>
      <c r="F172" s="9"/>
      <c r="G172" s="9"/>
    </row>
    <row r="173" spans="1:7" ht="15" hidden="1" customHeight="1" x14ac:dyDescent="0.3">
      <c r="A173" s="70" t="str">
        <f>Просчет!A166</f>
        <v>Дверь входная с терморазрывом правая</v>
      </c>
      <c r="B173" s="70">
        <f>Просчет!B166</f>
        <v>0</v>
      </c>
      <c r="C173" s="70" t="str">
        <f>Просчет!C166</f>
        <v>шт</v>
      </c>
      <c r="D173" s="9"/>
      <c r="E173" s="9"/>
      <c r="F173" s="9"/>
      <c r="G173" s="9"/>
    </row>
    <row r="174" spans="1:7" ht="15" customHeight="1" x14ac:dyDescent="0.3">
      <c r="A174" s="77" t="str">
        <f>Просчет!A167</f>
        <v>Элементы лестницы</v>
      </c>
      <c r="B174" s="71" t="s">
        <v>461</v>
      </c>
      <c r="C174" s="71" t="s">
        <v>461</v>
      </c>
      <c r="D174" s="74"/>
      <c r="E174" s="74"/>
      <c r="F174" s="74"/>
      <c r="G174" s="74"/>
    </row>
    <row r="175" spans="1:7" ht="16.5" hidden="1" customHeight="1" x14ac:dyDescent="0.3">
      <c r="A175" s="70" t="str">
        <f>Просчет!A168</f>
        <v>Балясины</v>
      </c>
      <c r="B175" s="70">
        <f>Просчет!B168</f>
        <v>0</v>
      </c>
      <c r="C175" s="70" t="str">
        <f>Просчет!C168</f>
        <v>шт</v>
      </c>
      <c r="D175" s="9"/>
      <c r="E175" s="9"/>
      <c r="F175" s="9"/>
      <c r="G175" s="9"/>
    </row>
    <row r="176" spans="1:7" ht="23.25" hidden="1" customHeight="1" x14ac:dyDescent="0.3">
      <c r="A176" s="70" t="str">
        <f>Просчет!A169</f>
        <v>Поручень 4м</v>
      </c>
      <c r="B176" s="70">
        <f>Просчет!B169</f>
        <v>0</v>
      </c>
      <c r="C176" s="70" t="str">
        <f>Просчет!C169</f>
        <v>шт</v>
      </c>
      <c r="D176" s="9"/>
      <c r="E176" s="9"/>
      <c r="F176" s="9"/>
      <c r="G176" s="9"/>
    </row>
    <row r="177" spans="1:7" ht="15" hidden="1" customHeight="1" x14ac:dyDescent="0.3">
      <c r="A177" s="70" t="str">
        <f>Просчет!A170</f>
        <v>Ступень</v>
      </c>
      <c r="B177" s="70">
        <f>Просчет!B170</f>
        <v>0</v>
      </c>
      <c r="C177" s="70" t="str">
        <f>Просчет!C170</f>
        <v>шт</v>
      </c>
      <c r="D177" s="9"/>
      <c r="E177" s="9"/>
      <c r="F177" s="9"/>
      <c r="G177" s="9"/>
    </row>
    <row r="178" spans="1:7" ht="15" hidden="1" customHeight="1" x14ac:dyDescent="0.3">
      <c r="A178" s="70" t="str">
        <f>Просчет!A171</f>
        <v>Тетива</v>
      </c>
      <c r="B178" s="70">
        <f>Просчет!B171</f>
        <v>0</v>
      </c>
      <c r="C178" s="70" t="str">
        <f>Просчет!C171</f>
        <v>шт</v>
      </c>
      <c r="D178" s="9"/>
      <c r="E178" s="9"/>
      <c r="F178" s="9"/>
      <c r="G178" s="9"/>
    </row>
    <row r="179" spans="1:7" ht="15" hidden="1" customHeight="1" x14ac:dyDescent="0.3">
      <c r="A179" s="70" t="str">
        <f>Просчет!A172</f>
        <v>Стартовый столб</v>
      </c>
      <c r="B179" s="70">
        <f>Просчет!B172</f>
        <v>0</v>
      </c>
      <c r="C179" s="70" t="str">
        <f>Просчет!C172</f>
        <v>шт</v>
      </c>
      <c r="D179" s="9"/>
      <c r="E179" s="9"/>
      <c r="F179" s="9"/>
      <c r="G179" s="9"/>
    </row>
    <row r="180" spans="1:7" ht="15" hidden="1" customHeight="1" x14ac:dyDescent="0.3">
      <c r="A180" s="70" t="str">
        <f>Просчет!A173</f>
        <v>Площадка 1,0*1,0</v>
      </c>
      <c r="B180" s="70">
        <f>Просчет!B173</f>
        <v>0</v>
      </c>
      <c r="C180" s="70" t="str">
        <f>Просчет!C173</f>
        <v>шт</v>
      </c>
      <c r="D180" s="9"/>
      <c r="E180" s="9"/>
      <c r="F180" s="9"/>
      <c r="G180" s="9"/>
    </row>
    <row r="181" spans="1:7" ht="15" hidden="1" customHeight="1" x14ac:dyDescent="0.3">
      <c r="A181" s="70" t="str">
        <f>Просчет!A174</f>
        <v>Подступенок</v>
      </c>
      <c r="B181" s="70">
        <f>Просчет!B174</f>
        <v>0</v>
      </c>
      <c r="C181" s="70" t="str">
        <f>Просчет!C174</f>
        <v>шт</v>
      </c>
      <c r="D181" s="9"/>
      <c r="E181" s="9"/>
      <c r="F181" s="9"/>
      <c r="G181" s="9"/>
    </row>
    <row r="182" spans="1:7" ht="14.45" x14ac:dyDescent="0.3">
      <c r="A182" s="77" t="str">
        <f>Просчет!A175</f>
        <v>Крепеж</v>
      </c>
      <c r="B182" s="71" t="s">
        <v>461</v>
      </c>
      <c r="C182" s="71" t="s">
        <v>461</v>
      </c>
      <c r="D182" s="74"/>
      <c r="E182" s="74"/>
      <c r="F182" s="74"/>
      <c r="G182" s="74"/>
    </row>
    <row r="183" spans="1:7" ht="16.5" hidden="1" customHeight="1" x14ac:dyDescent="0.3">
      <c r="A183" s="70" t="str">
        <f>Просчет!A176</f>
        <v>Гвозди 250</v>
      </c>
      <c r="B183" s="70">
        <f>Просчет!B176</f>
        <v>0</v>
      </c>
      <c r="C183" s="70" t="str">
        <f>Просчет!C176</f>
        <v>кг</v>
      </c>
      <c r="D183" s="9"/>
      <c r="E183" s="9"/>
      <c r="F183" s="9"/>
      <c r="G183" s="9"/>
    </row>
    <row r="184" spans="1:7" ht="15" hidden="1" customHeight="1" x14ac:dyDescent="0.3">
      <c r="A184" s="70" t="str">
        <f>Просчет!A177</f>
        <v>Гвозди 200</v>
      </c>
      <c r="B184" s="70">
        <f>Просчет!B177</f>
        <v>0</v>
      </c>
      <c r="C184" s="70" t="str">
        <f>Просчет!C177</f>
        <v>кг</v>
      </c>
      <c r="D184" s="9"/>
      <c r="E184" s="9"/>
      <c r="F184" s="9"/>
      <c r="G184" s="9"/>
    </row>
    <row r="185" spans="1:7" ht="15" hidden="1" customHeight="1" x14ac:dyDescent="0.3">
      <c r="A185" s="70" t="str">
        <f>Просчет!A178</f>
        <v>Гвозди 150</v>
      </c>
      <c r="B185" s="70">
        <f>Просчет!B178</f>
        <v>0</v>
      </c>
      <c r="C185" s="70" t="str">
        <f>Просчет!C178</f>
        <v>кг</v>
      </c>
      <c r="D185" s="9"/>
      <c r="E185" s="9"/>
      <c r="F185" s="9"/>
      <c r="G185" s="9"/>
    </row>
    <row r="186" spans="1:7" ht="15" customHeight="1" x14ac:dyDescent="0.3">
      <c r="A186" s="70" t="str">
        <f>Просчет!A179</f>
        <v>Гвозди 120</v>
      </c>
      <c r="B186" s="70">
        <f>Просчет!B179</f>
        <v>7</v>
      </c>
      <c r="C186" s="70" t="str">
        <f>Просчет!C179</f>
        <v>кг</v>
      </c>
      <c r="D186" s="9"/>
      <c r="E186" s="9"/>
      <c r="F186" s="9"/>
      <c r="G186" s="9"/>
    </row>
    <row r="187" spans="1:7" ht="15" customHeight="1" x14ac:dyDescent="0.3">
      <c r="A187" s="70" t="str">
        <f>Просчет!A180</f>
        <v>Гвозди 100</v>
      </c>
      <c r="B187" s="70">
        <f>Просчет!B180</f>
        <v>18</v>
      </c>
      <c r="C187" s="70" t="str">
        <f>Просчет!C180</f>
        <v>кг</v>
      </c>
      <c r="D187" s="9"/>
      <c r="E187" s="9"/>
      <c r="F187" s="9"/>
      <c r="G187" s="9"/>
    </row>
    <row r="188" spans="1:7" ht="15" customHeight="1" x14ac:dyDescent="0.3">
      <c r="A188" s="70" t="str">
        <f>Просчет!A181</f>
        <v>Гвозди 80</v>
      </c>
      <c r="B188" s="70">
        <f>Просчет!B181</f>
        <v>8</v>
      </c>
      <c r="C188" s="70" t="str">
        <f>Просчет!C181</f>
        <v>кг</v>
      </c>
      <c r="D188" s="9"/>
      <c r="E188" s="9"/>
      <c r="F188" s="9"/>
      <c r="G188" s="9"/>
    </row>
    <row r="189" spans="1:7" ht="15" customHeight="1" x14ac:dyDescent="0.3">
      <c r="A189" s="70" t="str">
        <f>Просчет!A182</f>
        <v>Цинк 60</v>
      </c>
      <c r="B189" s="70">
        <f>Просчет!B182</f>
        <v>24</v>
      </c>
      <c r="C189" s="70" t="str">
        <f>Просчет!C182</f>
        <v>кг</v>
      </c>
      <c r="D189" s="9"/>
      <c r="E189" s="9"/>
      <c r="F189" s="9"/>
      <c r="G189" s="9"/>
    </row>
    <row r="190" spans="1:7" ht="15" customHeight="1" x14ac:dyDescent="0.3">
      <c r="A190" s="70" t="str">
        <f>Просчет!A183</f>
        <v>Финиш 40</v>
      </c>
      <c r="B190" s="70">
        <f>Просчет!B183</f>
        <v>1</v>
      </c>
      <c r="C190" s="70" t="str">
        <f>Просчет!C183</f>
        <v>кг</v>
      </c>
      <c r="D190" s="9"/>
      <c r="E190" s="9"/>
      <c r="F190" s="9"/>
      <c r="G190" s="9"/>
    </row>
    <row r="191" spans="1:7" ht="15" hidden="1" customHeight="1" x14ac:dyDescent="0.3">
      <c r="A191" s="70" t="str">
        <f>Просчет!A184</f>
        <v>Цинк 90</v>
      </c>
      <c r="B191" s="70">
        <f>Просчет!B184</f>
        <v>0</v>
      </c>
      <c r="C191" s="70" t="str">
        <f>Просчет!C184</f>
        <v>кг</v>
      </c>
      <c r="D191" s="9"/>
      <c r="E191" s="9"/>
      <c r="F191" s="9"/>
      <c r="G191" s="9"/>
    </row>
    <row r="192" spans="1:7" ht="15" hidden="1" customHeight="1" x14ac:dyDescent="0.3">
      <c r="A192" s="70" t="str">
        <f>Просчет!A185</f>
        <v>Винт 60</v>
      </c>
      <c r="B192" s="70">
        <f>Просчет!B185</f>
        <v>0</v>
      </c>
      <c r="C192" s="70" t="str">
        <f>Просчет!C185</f>
        <v>кг</v>
      </c>
      <c r="D192" s="9"/>
      <c r="E192" s="9"/>
      <c r="F192" s="9"/>
      <c r="G192" s="9"/>
    </row>
    <row r="193" spans="1:7" ht="15" hidden="1" customHeight="1" x14ac:dyDescent="0.3">
      <c r="A193" s="70" t="str">
        <f>Просчет!A186</f>
        <v>Саморез 4,2*90</v>
      </c>
      <c r="B193" s="70">
        <f>Просчет!B186</f>
        <v>0</v>
      </c>
      <c r="C193" s="70" t="str">
        <f>Просчет!C186</f>
        <v>кг</v>
      </c>
      <c r="D193" s="9"/>
      <c r="E193" s="9"/>
      <c r="F193" s="9"/>
      <c r="G193" s="9"/>
    </row>
    <row r="194" spans="1:7" ht="15" customHeight="1" x14ac:dyDescent="0.25">
      <c r="A194" s="70" t="str">
        <f>Просчет!A187</f>
        <v>Саморез 4,2*75</v>
      </c>
      <c r="B194" s="70">
        <f>Просчет!B187</f>
        <v>2</v>
      </c>
      <c r="C194" s="70" t="str">
        <f>Просчет!C187</f>
        <v>кг</v>
      </c>
      <c r="D194" s="9"/>
      <c r="E194" s="9"/>
      <c r="F194" s="9"/>
      <c r="G194" s="9"/>
    </row>
    <row r="195" spans="1:7" ht="15" customHeight="1" x14ac:dyDescent="0.25">
      <c r="A195" s="70" t="str">
        <f>Просчет!A188</f>
        <v>Саморез 3,5*51</v>
      </c>
      <c r="B195" s="70">
        <f>Просчет!B188</f>
        <v>2</v>
      </c>
      <c r="C195" s="70" t="str">
        <f>Просчет!C188</f>
        <v>кг</v>
      </c>
      <c r="D195" s="9"/>
      <c r="E195" s="9"/>
      <c r="F195" s="9"/>
      <c r="G195" s="9"/>
    </row>
    <row r="196" spans="1:7" ht="15" customHeight="1" x14ac:dyDescent="0.25">
      <c r="A196" s="70" t="str">
        <f>Просчет!A189</f>
        <v>Саморез 3,5*35</v>
      </c>
      <c r="B196" s="70">
        <f>Просчет!B189</f>
        <v>3</v>
      </c>
      <c r="C196" s="70" t="str">
        <f>Просчет!C189</f>
        <v>кг</v>
      </c>
      <c r="D196" s="9"/>
      <c r="E196" s="9"/>
      <c r="F196" s="9"/>
      <c r="G196" s="9"/>
    </row>
    <row r="197" spans="1:7" ht="15" hidden="1" customHeight="1" x14ac:dyDescent="0.25">
      <c r="A197" s="70" t="str">
        <f>Просчет!A190</f>
        <v>Саморез 3,9*35 по ГВЛ</v>
      </c>
      <c r="B197" s="70">
        <f>Просчет!B190</f>
        <v>0</v>
      </c>
      <c r="C197" s="70" t="str">
        <f>Просчет!C190</f>
        <v>кг</v>
      </c>
      <c r="D197" s="9"/>
      <c r="E197" s="9"/>
      <c r="F197" s="9"/>
      <c r="G197" s="9"/>
    </row>
    <row r="198" spans="1:7" ht="15" hidden="1" customHeight="1" x14ac:dyDescent="0.3">
      <c r="A198" s="70" t="str">
        <f>Просчет!A191</f>
        <v>Саморез 50 ж/п</v>
      </c>
      <c r="B198" s="70">
        <f>Просчет!B191</f>
        <v>0</v>
      </c>
      <c r="C198" s="70" t="str">
        <f>Просчет!C191</f>
        <v>кг</v>
      </c>
      <c r="D198" s="9"/>
      <c r="E198" s="9"/>
      <c r="F198" s="9"/>
      <c r="G198" s="9"/>
    </row>
    <row r="199" spans="1:7" ht="15" hidden="1" customHeight="1" x14ac:dyDescent="0.3">
      <c r="A199" s="70" t="str">
        <f>Просчет!A192</f>
        <v>Саморез 35 ж/п</v>
      </c>
      <c r="B199" s="70">
        <f>Просчет!B192</f>
        <v>0</v>
      </c>
      <c r="C199" s="70" t="str">
        <f>Просчет!C192</f>
        <v>кг</v>
      </c>
      <c r="D199" s="9"/>
      <c r="E199" s="9"/>
      <c r="F199" s="9"/>
      <c r="G199" s="9"/>
    </row>
    <row r="200" spans="1:7" ht="15" hidden="1" customHeight="1" x14ac:dyDescent="0.25">
      <c r="A200" s="70" t="str">
        <f>Просчет!A193</f>
        <v>Саморез 4,2*19 п/ш</v>
      </c>
      <c r="B200" s="70">
        <f>Просчет!B193</f>
        <v>0</v>
      </c>
      <c r="C200" s="70" t="str">
        <f>Просчет!C193</f>
        <v>кг</v>
      </c>
      <c r="D200" s="9"/>
      <c r="E200" s="9"/>
      <c r="F200" s="9"/>
      <c r="G200" s="9"/>
    </row>
    <row r="201" spans="1:7" ht="15" customHeight="1" x14ac:dyDescent="0.25">
      <c r="A201" s="70" t="str">
        <f>Просчет!A194</f>
        <v>Скобы для степлера</v>
      </c>
      <c r="B201" s="70">
        <f>Просчет!B194</f>
        <v>4</v>
      </c>
      <c r="C201" s="70" t="str">
        <f>Просчет!C194</f>
        <v>шт</v>
      </c>
      <c r="D201" s="9"/>
      <c r="E201" s="9"/>
      <c r="F201" s="9"/>
      <c r="G201" s="9"/>
    </row>
    <row r="202" spans="1:7" ht="15" hidden="1" customHeight="1" x14ac:dyDescent="0.25">
      <c r="A202" s="70" t="str">
        <f>Просчет!A195</f>
        <v>Герметик для окон</v>
      </c>
      <c r="B202" s="70">
        <f>Просчет!B195</f>
        <v>0</v>
      </c>
      <c r="C202" s="70" t="str">
        <f>Просчет!C195</f>
        <v>ведро</v>
      </c>
      <c r="D202" s="9"/>
      <c r="E202" s="9"/>
      <c r="F202" s="9"/>
      <c r="G202" s="9"/>
    </row>
    <row r="203" spans="1:7" ht="15" hidden="1" customHeight="1" x14ac:dyDescent="0.25">
      <c r="A203" s="70" t="str">
        <f>Просчет!A196</f>
        <v>Лента Bauset</v>
      </c>
      <c r="B203" s="70">
        <f>Просчет!B196</f>
        <v>0</v>
      </c>
      <c r="C203" s="70" t="str">
        <f>Просчет!C196</f>
        <v>шт</v>
      </c>
      <c r="D203" s="9"/>
      <c r="E203" s="9"/>
      <c r="F203" s="9"/>
      <c r="G203" s="9"/>
    </row>
    <row r="204" spans="1:7" ht="15" customHeight="1" x14ac:dyDescent="0.25">
      <c r="A204" s="70" t="str">
        <f>Просчет!A197</f>
        <v>Круг отрезной</v>
      </c>
      <c r="B204" s="70">
        <f>Просчет!B197</f>
        <v>5</v>
      </c>
      <c r="C204" s="70" t="str">
        <f>Просчет!C197</f>
        <v>шт</v>
      </c>
      <c r="D204" s="9"/>
      <c r="E204" s="9"/>
      <c r="F204" s="9"/>
      <c r="G204" s="9"/>
    </row>
    <row r="205" spans="1:7" ht="15" hidden="1" customHeight="1" x14ac:dyDescent="0.25">
      <c r="A205" s="70" t="str">
        <f>Просчет!A198</f>
        <v>Круг шлифовальный</v>
      </c>
      <c r="B205" s="70">
        <f>Просчет!B198</f>
        <v>0</v>
      </c>
      <c r="C205" s="70" t="str">
        <f>Просчет!C198</f>
        <v>шт</v>
      </c>
      <c r="D205" s="9"/>
      <c r="E205" s="9"/>
      <c r="F205" s="9"/>
      <c r="G205" s="9"/>
    </row>
    <row r="206" spans="1:7" ht="15" customHeight="1" x14ac:dyDescent="0.25">
      <c r="A206" s="70" t="str">
        <f>Просчет!A199</f>
        <v>Кисть 75</v>
      </c>
      <c r="B206" s="70">
        <f>Просчет!B199</f>
        <v>4</v>
      </c>
      <c r="C206" s="70" t="str">
        <f>Просчет!C199</f>
        <v>шт</v>
      </c>
      <c r="D206" s="9"/>
      <c r="E206" s="9"/>
      <c r="F206" s="9"/>
      <c r="G206" s="9"/>
    </row>
    <row r="207" spans="1:7" ht="15" customHeight="1" x14ac:dyDescent="0.25">
      <c r="A207" s="70" t="str">
        <f>Просчет!A200</f>
        <v>Бита</v>
      </c>
      <c r="B207" s="70">
        <f>Просчет!B200</f>
        <v>2</v>
      </c>
      <c r="C207" s="70" t="str">
        <f>Просчет!C200</f>
        <v>шт</v>
      </c>
      <c r="D207" s="9"/>
      <c r="E207" s="9"/>
      <c r="F207" s="9"/>
      <c r="G207" s="9"/>
    </row>
    <row r="208" spans="1:7" ht="15" customHeight="1" x14ac:dyDescent="0.25">
      <c r="A208" s="70" t="str">
        <f>Просчет!A201</f>
        <v>Пена монтажная зима</v>
      </c>
      <c r="B208" s="70">
        <f>Просчет!B201</f>
        <v>6</v>
      </c>
      <c r="C208" s="70" t="str">
        <f>Просчет!C201</f>
        <v>шт</v>
      </c>
      <c r="D208" s="9"/>
      <c r="E208" s="9"/>
      <c r="F208" s="9"/>
      <c r="G208" s="9"/>
    </row>
    <row r="209" spans="1:7" ht="15" customHeight="1" x14ac:dyDescent="0.25">
      <c r="A209" s="70" t="str">
        <f>Просчет!A202</f>
        <v>Перчатки ПВХ</v>
      </c>
      <c r="B209" s="70">
        <f>Просчет!B202</f>
        <v>12</v>
      </c>
      <c r="C209" s="70" t="str">
        <f>Просчет!C202</f>
        <v>шт</v>
      </c>
      <c r="D209" s="9"/>
      <c r="E209" s="9"/>
      <c r="F209" s="9"/>
      <c r="G209" s="9"/>
    </row>
    <row r="210" spans="1:7" ht="15" customHeight="1" x14ac:dyDescent="0.25">
      <c r="A210" s="70" t="str">
        <f>Просчет!A203</f>
        <v>Пленка укрывная</v>
      </c>
      <c r="B210" s="70">
        <f>Просчет!B203</f>
        <v>50</v>
      </c>
      <c r="C210" s="70" t="str">
        <f>Просчет!C203</f>
        <v>пог. М</v>
      </c>
      <c r="D210" s="9"/>
      <c r="E210" s="9"/>
      <c r="F210" s="9"/>
      <c r="G210" s="9"/>
    </row>
    <row r="211" spans="1:7" ht="15" customHeight="1" x14ac:dyDescent="0.25">
      <c r="A211" s="70" t="str">
        <f>Просчет!A204</f>
        <v>Масло 0,1л</v>
      </c>
      <c r="B211" s="70">
        <f>Просчет!B204</f>
        <v>1</v>
      </c>
      <c r="C211" s="70" t="str">
        <f>Просчет!C204</f>
        <v>шт</v>
      </c>
      <c r="D211" s="9"/>
      <c r="E211" s="9"/>
      <c r="F211" s="9"/>
      <c r="G211" s="9"/>
    </row>
    <row r="212" spans="1:7" ht="15" hidden="1" customHeight="1" x14ac:dyDescent="0.25">
      <c r="A212" s="70" t="str">
        <f>Просчет!A205</f>
        <v>Масло М8</v>
      </c>
      <c r="B212" s="70">
        <f>Просчет!B205</f>
        <v>0</v>
      </c>
      <c r="C212" s="70" t="str">
        <f>Просчет!C205</f>
        <v>шт</v>
      </c>
      <c r="D212" s="9"/>
      <c r="E212" s="9"/>
      <c r="F212" s="9"/>
      <c r="G212" s="9"/>
    </row>
    <row r="213" spans="1:7" ht="15" customHeight="1" x14ac:dyDescent="0.25">
      <c r="A213" s="70" t="str">
        <f>Просчет!A206</f>
        <v>Скотч DELTA</v>
      </c>
      <c r="B213" s="181">
        <f>Просчет!B206</f>
        <v>5.25</v>
      </c>
      <c r="C213" s="70" t="str">
        <f>Просчет!C206</f>
        <v>шт</v>
      </c>
      <c r="D213" s="9"/>
      <c r="E213" s="9"/>
      <c r="F213" s="9"/>
      <c r="G213" s="9"/>
    </row>
    <row r="214" spans="1:7" ht="15" customHeight="1" x14ac:dyDescent="0.25">
      <c r="A214" s="70" t="str">
        <f>Просчет!A207</f>
        <v>Скочт ML</v>
      </c>
      <c r="B214" s="181">
        <f>Просчет!B207</f>
        <v>1.75</v>
      </c>
      <c r="C214" s="70" t="str">
        <f>Просчет!C207</f>
        <v>шт</v>
      </c>
      <c r="D214" s="9"/>
      <c r="E214" s="9"/>
      <c r="F214" s="9"/>
      <c r="G214" s="9"/>
    </row>
    <row r="215" spans="1:7" ht="12.75" customHeight="1" x14ac:dyDescent="0.25">
      <c r="A215" s="70" t="str">
        <f>Просчет!A208</f>
        <v>Цепь 50</v>
      </c>
      <c r="B215" s="70">
        <f>Просчет!B208</f>
        <v>1</v>
      </c>
      <c r="C215" s="70" t="str">
        <f>Просчет!C208</f>
        <v>шт</v>
      </c>
      <c r="D215" s="9"/>
      <c r="E215" s="9"/>
      <c r="F215" s="9"/>
      <c r="G215" s="9"/>
    </row>
    <row r="216" spans="1:7" ht="12.75" hidden="1" customHeight="1" x14ac:dyDescent="0.25">
      <c r="A216" s="70" t="str">
        <f>Просчет!A209</f>
        <v>Политерм</v>
      </c>
      <c r="B216" s="70">
        <f>Просчет!B209</f>
        <v>0</v>
      </c>
      <c r="C216" s="70" t="str">
        <f>Просчет!C209</f>
        <v>шт</v>
      </c>
      <c r="D216" s="9"/>
      <c r="E216" s="9"/>
      <c r="F216" s="9"/>
      <c r="G216" s="9"/>
    </row>
    <row r="217" spans="1:7" ht="15" hidden="1" customHeight="1" x14ac:dyDescent="0.3">
      <c r="A217" s="70" t="str">
        <f>Просчет!A210</f>
        <v>Джут 50</v>
      </c>
      <c r="B217" s="70">
        <f>Просчет!B210</f>
        <v>0</v>
      </c>
      <c r="C217" s="70" t="str">
        <f>Просчет!C210</f>
        <v>шт</v>
      </c>
      <c r="D217" s="9"/>
      <c r="E217" s="9"/>
      <c r="F217" s="9"/>
      <c r="G217" s="9"/>
    </row>
    <row r="218" spans="1:7" ht="13.5" hidden="1" customHeight="1" x14ac:dyDescent="0.25">
      <c r="A218" s="70" t="str">
        <f>Просчет!A211</f>
        <v>Джут 100</v>
      </c>
      <c r="B218" s="70">
        <f>Просчет!B211</f>
        <v>0</v>
      </c>
      <c r="C218" s="70" t="str">
        <f>Просчет!C211</f>
        <v>шт</v>
      </c>
      <c r="D218" s="9"/>
      <c r="E218" s="9"/>
      <c r="F218" s="9"/>
      <c r="G218" s="9"/>
    </row>
    <row r="219" spans="1:7" ht="15" hidden="1" customHeight="1" x14ac:dyDescent="0.3">
      <c r="A219" s="70" t="str">
        <f>Просчет!A212</f>
        <v>Джут 150</v>
      </c>
      <c r="B219" s="70">
        <f>Просчет!B212</f>
        <v>0</v>
      </c>
      <c r="C219" s="70" t="str">
        <f>Просчет!C212</f>
        <v>шт</v>
      </c>
      <c r="D219" s="9"/>
      <c r="E219" s="9"/>
      <c r="F219" s="9"/>
      <c r="G219" s="9"/>
    </row>
    <row r="220" spans="1:7" ht="15" customHeight="1" x14ac:dyDescent="0.25">
      <c r="A220" s="70" t="str">
        <f>Просчет!A213</f>
        <v>Краска на торцы</v>
      </c>
      <c r="B220" s="70">
        <f>Просчет!B213</f>
        <v>1</v>
      </c>
      <c r="C220" s="70" t="str">
        <f>Просчет!C213</f>
        <v>л</v>
      </c>
      <c r="D220" s="9"/>
      <c r="E220" s="9"/>
      <c r="F220" s="9"/>
      <c r="G220" s="9"/>
    </row>
    <row r="221" spans="1:7" ht="15" hidden="1" customHeight="1" x14ac:dyDescent="0.3">
      <c r="A221" s="70" t="str">
        <f>Просчет!A214</f>
        <v>Нагель 2-й сорт</v>
      </c>
      <c r="B221" s="70">
        <f>Просчет!B214</f>
        <v>0</v>
      </c>
      <c r="C221" s="70" t="str">
        <f>Просчет!C214</f>
        <v>шт</v>
      </c>
      <c r="D221" s="9"/>
      <c r="E221" s="9"/>
      <c r="F221" s="9"/>
      <c r="G221" s="9"/>
    </row>
    <row r="222" spans="1:7" ht="15" hidden="1" customHeight="1" x14ac:dyDescent="0.3">
      <c r="A222" s="70" t="str">
        <f>Просчет!A215</f>
        <v>Домкрат</v>
      </c>
      <c r="B222" s="70">
        <f>Просчет!B215</f>
        <v>0</v>
      </c>
      <c r="C222" s="70" t="str">
        <f>Просчет!C215</f>
        <v>шт</v>
      </c>
      <c r="D222" s="9"/>
      <c r="E222" s="9"/>
      <c r="F222" s="9"/>
      <c r="G222" s="9"/>
    </row>
    <row r="223" spans="1:7" ht="15" hidden="1" customHeight="1" x14ac:dyDescent="0.3">
      <c r="A223" s="70" t="str">
        <f>Просчет!A216</f>
        <v>Скобы 8*200</v>
      </c>
      <c r="B223" s="70">
        <f>Просчет!B216</f>
        <v>0</v>
      </c>
      <c r="C223" s="70" t="str">
        <f>Просчет!C216</f>
        <v>шт</v>
      </c>
      <c r="D223" s="9"/>
      <c r="E223" s="9"/>
      <c r="F223" s="9"/>
      <c r="G223" s="9"/>
    </row>
    <row r="224" spans="1:7" ht="15.75" hidden="1" customHeight="1" x14ac:dyDescent="0.3">
      <c r="A224" s="70" t="str">
        <f>Просчет!A217</f>
        <v>Скользячка 90-160мм</v>
      </c>
      <c r="B224" s="70">
        <f>Просчет!B217</f>
        <v>0</v>
      </c>
      <c r="C224" s="70" t="str">
        <f>Просчет!C217</f>
        <v>шт</v>
      </c>
      <c r="D224" s="9"/>
      <c r="E224" s="9"/>
      <c r="F224" s="9"/>
      <c r="G224" s="9"/>
    </row>
    <row r="225" spans="1:7" ht="15" hidden="1" customHeight="1" x14ac:dyDescent="0.3">
      <c r="A225" s="70" t="str">
        <f>Просчет!A218</f>
        <v>Узел-сила 10*240 эконом</v>
      </c>
      <c r="B225" s="70">
        <f>Просчет!B218</f>
        <v>0</v>
      </c>
      <c r="C225" s="70" t="str">
        <f>Просчет!C218</f>
        <v>шт</v>
      </c>
      <c r="D225" s="9"/>
      <c r="E225" s="9"/>
      <c r="F225" s="9"/>
      <c r="G225" s="9"/>
    </row>
    <row r="226" spans="1:7" ht="16.5" customHeight="1" x14ac:dyDescent="0.25">
      <c r="A226" s="70" t="str">
        <f>Просчет!A219</f>
        <v>Spax 6x120</v>
      </c>
      <c r="B226" s="70">
        <f>Просчет!B219</f>
        <v>18</v>
      </c>
      <c r="C226" s="70" t="str">
        <f>Просчет!C219</f>
        <v>шт</v>
      </c>
      <c r="D226" s="9"/>
      <c r="E226" s="9"/>
      <c r="F226" s="9"/>
      <c r="G226" s="9"/>
    </row>
    <row r="227" spans="1:7" ht="15" customHeight="1" x14ac:dyDescent="0.25">
      <c r="A227" s="70" t="str">
        <f>Просчет!A220</f>
        <v>Spax 8x280</v>
      </c>
      <c r="B227" s="70">
        <f>Просчет!B220</f>
        <v>90</v>
      </c>
      <c r="C227" s="70" t="str">
        <f>Просчет!C220</f>
        <v>шт</v>
      </c>
      <c r="D227" s="9"/>
      <c r="E227" s="9"/>
      <c r="F227" s="9"/>
      <c r="G227" s="9"/>
    </row>
    <row r="228" spans="1:7" ht="17.25" customHeight="1" x14ac:dyDescent="0.25">
      <c r="A228" s="70" t="str">
        <f>Просчет!A221</f>
        <v>Spax 8x200</v>
      </c>
      <c r="B228" s="70">
        <f>Просчет!B221</f>
        <v>160</v>
      </c>
      <c r="C228" s="70" t="str">
        <f>Просчет!C221</f>
        <v>шт</v>
      </c>
      <c r="D228" s="9"/>
      <c r="E228" s="9"/>
      <c r="F228" s="9"/>
      <c r="G228" s="9"/>
    </row>
    <row r="229" spans="1:7" ht="13.5" hidden="1" customHeight="1" x14ac:dyDescent="0.3">
      <c r="A229" s="70" t="str">
        <f>Просчет!A222</f>
        <v>Глухарь 6*100</v>
      </c>
      <c r="B229" s="70">
        <f>Просчет!B222</f>
        <v>0</v>
      </c>
      <c r="C229" s="70" t="str">
        <f>Просчет!C222</f>
        <v>шт</v>
      </c>
      <c r="D229" s="9"/>
      <c r="E229" s="9"/>
      <c r="F229" s="9"/>
      <c r="G229" s="9"/>
    </row>
    <row r="230" spans="1:7" ht="15" hidden="1" customHeight="1" x14ac:dyDescent="0.3">
      <c r="A230" s="70" t="str">
        <f>Просчет!A223</f>
        <v>Шпилька 10*1000</v>
      </c>
      <c r="B230" s="70">
        <f>Просчет!B223</f>
        <v>0</v>
      </c>
      <c r="C230" s="70" t="str">
        <f>Просчет!C223</f>
        <v>шт</v>
      </c>
      <c r="D230" s="9"/>
      <c r="E230" s="9"/>
      <c r="F230" s="9"/>
      <c r="G230" s="9"/>
    </row>
    <row r="231" spans="1:7" ht="15" hidden="1" customHeight="1" x14ac:dyDescent="0.3">
      <c r="A231" s="70" t="str">
        <f>Просчет!A224</f>
        <v>Шайба М6 ув</v>
      </c>
      <c r="B231" s="70">
        <f>Просчет!B224</f>
        <v>0</v>
      </c>
      <c r="C231" s="70" t="str">
        <f>Просчет!C224</f>
        <v>шт</v>
      </c>
      <c r="D231" s="9"/>
      <c r="E231" s="9"/>
      <c r="F231" s="9"/>
      <c r="G231" s="9"/>
    </row>
    <row r="232" spans="1:7" ht="15" hidden="1" customHeight="1" x14ac:dyDescent="0.3">
      <c r="A232" s="70" t="str">
        <f>Просчет!A225</f>
        <v>Гайка М10</v>
      </c>
      <c r="B232" s="70">
        <f>Просчет!B225</f>
        <v>0</v>
      </c>
      <c r="C232" s="70" t="str">
        <f>Просчет!C225</f>
        <v>шт</v>
      </c>
      <c r="D232" s="9"/>
      <c r="E232" s="9"/>
      <c r="F232" s="9"/>
      <c r="G232" s="9"/>
    </row>
    <row r="233" spans="1:7" ht="15" customHeight="1" x14ac:dyDescent="0.25">
      <c r="A233" s="77" t="str">
        <f>Просчет!A226</f>
        <v>Кровля</v>
      </c>
      <c r="B233" s="71" t="s">
        <v>461</v>
      </c>
      <c r="C233" s="71" t="s">
        <v>461</v>
      </c>
      <c r="D233" s="74"/>
      <c r="E233" s="74"/>
      <c r="F233" s="74"/>
      <c r="G233" s="74"/>
    </row>
    <row r="234" spans="1:7" ht="15" hidden="1" customHeight="1" x14ac:dyDescent="0.3">
      <c r="A234" s="70" t="str">
        <f>Просчет!A227</f>
        <v>Оцинкованный профнастил + доборные элементы</v>
      </c>
      <c r="B234" s="70">
        <f>Просчет!B227</f>
        <v>0</v>
      </c>
      <c r="C234" s="70" t="str">
        <f>Просчет!C227</f>
        <v>м2</v>
      </c>
      <c r="D234" s="9"/>
      <c r="E234" s="9"/>
      <c r="F234" s="9"/>
      <c r="G234" s="9"/>
    </row>
    <row r="235" spans="1:7" ht="15" customHeight="1" x14ac:dyDescent="0.25">
      <c r="A235" s="70" t="str">
        <f>Просчет!A228</f>
        <v>Крашенный профлист + доборные элементы (RAL 9005)</v>
      </c>
      <c r="B235" s="70">
        <f>Просчет!B228</f>
        <v>164</v>
      </c>
      <c r="C235" s="70" t="str">
        <f>Просчет!C228</f>
        <v>м2</v>
      </c>
      <c r="D235" s="9"/>
      <c r="E235" s="9"/>
      <c r="F235" s="9"/>
      <c r="G235" s="9"/>
    </row>
    <row r="236" spans="1:7" ht="14.25" hidden="1" customHeight="1" x14ac:dyDescent="0.3">
      <c r="A236" s="70" t="str">
        <f>Просчет!A229</f>
        <v>Металлочерепица + доборные элементы (шоколад)</v>
      </c>
      <c r="B236" s="70">
        <f>Просчет!B229</f>
        <v>0</v>
      </c>
      <c r="C236" s="70" t="str">
        <f>Просчет!C229</f>
        <v>м2</v>
      </c>
      <c r="D236" s="9"/>
      <c r="E236" s="9"/>
      <c r="F236" s="9"/>
      <c r="G236" s="9"/>
    </row>
    <row r="237" spans="1:7" ht="13.5" hidden="1" customHeight="1" x14ac:dyDescent="0.3">
      <c r="A237" s="70" t="str">
        <f>Просчет!A230</f>
        <v>ГЧ ТЕХНОНИКРОЛЬ коллекция Сальса цвет - Финик</v>
      </c>
      <c r="B237" s="70">
        <f>Просчет!B230</f>
        <v>0</v>
      </c>
      <c r="C237" s="70" t="str">
        <f>Просчет!C230</f>
        <v>м2</v>
      </c>
      <c r="D237" s="9"/>
      <c r="E237" s="9"/>
      <c r="F237" s="9"/>
      <c r="G237" s="9"/>
    </row>
    <row r="238" spans="1:7" ht="13.5" customHeight="1" x14ac:dyDescent="0.25">
      <c r="A238" s="70" t="str">
        <f>Просчет!A231</f>
        <v>Водосточная система, пластик (белая)</v>
      </c>
      <c r="B238" s="70">
        <f>Просчет!B231</f>
        <v>45</v>
      </c>
      <c r="C238" s="70" t="str">
        <f>Просчет!C231</f>
        <v>пог. М</v>
      </c>
      <c r="D238" s="9"/>
      <c r="E238" s="9"/>
      <c r="F238" s="9"/>
      <c r="G238" s="9"/>
    </row>
    <row r="239" spans="1:7" ht="15" hidden="1" customHeight="1" x14ac:dyDescent="0.25">
      <c r="A239" s="70" t="str">
        <f>Просчет!A232</f>
        <v>Водосточная система, металлическая (RAL 9005)</v>
      </c>
      <c r="B239" s="70">
        <f>Просчет!B232</f>
        <v>0</v>
      </c>
      <c r="C239" s="70" t="str">
        <f>Просчет!C232</f>
        <v>пог. М</v>
      </c>
      <c r="D239" s="9"/>
      <c r="E239" s="9"/>
      <c r="F239" s="9"/>
      <c r="G239" s="9"/>
    </row>
    <row r="240" spans="1:7" ht="15" hidden="1" customHeight="1" x14ac:dyDescent="0.3">
      <c r="A240" s="70" t="str">
        <f>Просчет!A233</f>
        <v>Снегозадержатель</v>
      </c>
      <c r="B240" s="70">
        <f>Просчет!B233</f>
        <v>0</v>
      </c>
      <c r="C240" s="70" t="str">
        <f>Просчет!C233</f>
        <v>пог. М</v>
      </c>
      <c r="D240" s="9"/>
      <c r="E240" s="9"/>
      <c r="F240" s="9"/>
      <c r="G240" s="9"/>
    </row>
    <row r="241" spans="1:7" ht="15" hidden="1" customHeight="1" x14ac:dyDescent="0.3">
      <c r="A241" s="70" t="str">
        <f>Просчет!A234</f>
        <v>Сайдинг (шоколад)</v>
      </c>
      <c r="B241" s="70">
        <f>Просчет!B234</f>
        <v>0</v>
      </c>
      <c r="C241" s="70" t="str">
        <f>Просчет!C234</f>
        <v>м2</v>
      </c>
      <c r="D241" s="9"/>
      <c r="E241" s="9"/>
      <c r="F241" s="9"/>
      <c r="G241" s="9"/>
    </row>
    <row r="242" spans="1:7" ht="15" hidden="1" customHeight="1" x14ac:dyDescent="0.3">
      <c r="A242" s="70" t="str">
        <f>Просчет!A235</f>
        <v>Софит перфорированный/глухой 50/50 (белый)</v>
      </c>
      <c r="B242" s="70">
        <f>Просчет!B235</f>
        <v>0</v>
      </c>
      <c r="C242" s="70" t="str">
        <f>Просчет!C235</f>
        <v>м2</v>
      </c>
      <c r="D242" s="9"/>
      <c r="E242" s="9"/>
      <c r="F242" s="9"/>
      <c r="G242" s="9"/>
    </row>
    <row r="243" spans="1:7" ht="15" hidden="1" customHeight="1" x14ac:dyDescent="0.3">
      <c r="A243" s="70" t="str">
        <f>Просчет!A236</f>
        <v>Решетка 350*350</v>
      </c>
      <c r="B243" s="70">
        <f>Просчет!B236</f>
        <v>0</v>
      </c>
      <c r="C243" s="70" t="str">
        <f>Просчет!C236</f>
        <v>шт</v>
      </c>
      <c r="D243" s="9"/>
      <c r="E243" s="9"/>
      <c r="F243" s="9"/>
      <c r="G243" s="9"/>
    </row>
    <row r="244" spans="1:7" x14ac:dyDescent="0.25">
      <c r="A244" s="77" t="str">
        <f>Просчет!A237</f>
        <v>Пленки и утеплители</v>
      </c>
      <c r="B244" s="71" t="s">
        <v>461</v>
      </c>
      <c r="C244" s="71" t="s">
        <v>461</v>
      </c>
      <c r="D244" s="74"/>
      <c r="E244" s="74"/>
      <c r="F244" s="74"/>
      <c r="G244" s="74"/>
    </row>
    <row r="245" spans="1:7" x14ac:dyDescent="0.25">
      <c r="A245" s="70" t="str">
        <f>Просчет!A238</f>
        <v xml:space="preserve">Изовер Каркас-М37-Твин (0,732м3) </v>
      </c>
      <c r="B245" s="70">
        <f>Просчет!B238</f>
        <v>29.7</v>
      </c>
      <c r="C245" s="70" t="str">
        <f>Просчет!C238</f>
        <v>м3</v>
      </c>
      <c r="D245" s="9"/>
      <c r="E245" s="9"/>
      <c r="F245" s="9"/>
      <c r="G245" s="9"/>
    </row>
    <row r="246" spans="1:7" hidden="1" x14ac:dyDescent="0.25">
      <c r="A246" s="70" t="str">
        <f>Просчет!A239</f>
        <v>Базальт</v>
      </c>
      <c r="B246" s="70">
        <f>Просчет!B239</f>
        <v>0</v>
      </c>
      <c r="C246" s="70" t="str">
        <f>Просчет!C239</f>
        <v>м3</v>
      </c>
      <c r="D246" s="9"/>
      <c r="E246" s="9"/>
      <c r="F246" s="9"/>
      <c r="G246" s="9"/>
    </row>
    <row r="247" spans="1:7" hidden="1" x14ac:dyDescent="0.25">
      <c r="A247" s="70" t="str">
        <f>Просчет!A240</f>
        <v>Изовер Каркас П-37 (0,714 м3) н/п</v>
      </c>
      <c r="B247" s="70">
        <f>Просчет!B240</f>
        <v>0</v>
      </c>
      <c r="C247" s="70" t="str">
        <f>Просчет!C240</f>
        <v>м3</v>
      </c>
      <c r="D247" s="9"/>
      <c r="E247" s="9"/>
      <c r="F247" s="9"/>
      <c r="G247" s="9"/>
    </row>
    <row r="248" spans="1:7" hidden="1" x14ac:dyDescent="0.25">
      <c r="A248" s="70" t="str">
        <f>Просчет!A241</f>
        <v>Изовер Каркас П-34 (0,714 м3) ср/п</v>
      </c>
      <c r="B248" s="70">
        <f>Просчет!B241</f>
        <v>0</v>
      </c>
      <c r="C248" s="70" t="str">
        <f>Просчет!C241</f>
        <v>м3</v>
      </c>
      <c r="D248" s="9"/>
      <c r="E248" s="9"/>
      <c r="F248" s="9"/>
      <c r="G248" s="9"/>
    </row>
    <row r="249" spans="1:7" hidden="1" x14ac:dyDescent="0.25">
      <c r="A249" s="70" t="str">
        <f>Просчет!A242</f>
        <v>Пенополистерол 1180х580х50мм</v>
      </c>
      <c r="B249" s="70">
        <f>Просчет!B242</f>
        <v>0</v>
      </c>
      <c r="C249" s="70" t="str">
        <f>Просчет!C242</f>
        <v>шт</v>
      </c>
      <c r="D249" s="9"/>
      <c r="E249" s="9"/>
      <c r="F249" s="9"/>
      <c r="G249" s="9"/>
    </row>
    <row r="250" spans="1:7" hidden="1" x14ac:dyDescent="0.25">
      <c r="A250" s="70" t="str">
        <f>Просчет!A243</f>
        <v>СпанИзол А (70м2)</v>
      </c>
      <c r="B250" s="70">
        <f>Просчет!B243</f>
        <v>0</v>
      </c>
      <c r="C250" s="70" t="str">
        <f>Просчет!C243</f>
        <v>шт</v>
      </c>
      <c r="D250" s="9"/>
      <c r="E250" s="9"/>
      <c r="F250" s="9"/>
      <c r="G250" s="9"/>
    </row>
    <row r="251" spans="1:7" hidden="1" x14ac:dyDescent="0.25">
      <c r="A251" s="70" t="str">
        <f>Просчет!A244</f>
        <v>СпанИзол А (35м2)</v>
      </c>
      <c r="B251" s="70">
        <f>Просчет!B244</f>
        <v>0</v>
      </c>
      <c r="C251" s="70" t="str">
        <f>Просчет!C244</f>
        <v>шт</v>
      </c>
      <c r="D251" s="9"/>
      <c r="E251" s="9"/>
      <c r="F251" s="9"/>
      <c r="G251" s="9"/>
    </row>
    <row r="252" spans="1:7" hidden="1" x14ac:dyDescent="0.25">
      <c r="A252" s="70" t="str">
        <f>Просчет!A245</f>
        <v>СпанИзол В (70м2) стандарт</v>
      </c>
      <c r="B252" s="70">
        <f>Просчет!B245</f>
        <v>0</v>
      </c>
      <c r="C252" s="70" t="str">
        <f>Просчет!C245</f>
        <v>шт</v>
      </c>
      <c r="D252" s="9"/>
      <c r="E252" s="9"/>
      <c r="F252" s="9"/>
      <c r="G252" s="9"/>
    </row>
    <row r="253" spans="1:7" hidden="1" x14ac:dyDescent="0.25">
      <c r="A253" s="70" t="str">
        <f>Просчет!A246</f>
        <v>СпанИзол В (35м2) стандарт</v>
      </c>
      <c r="B253" s="70">
        <f>Просчет!B246</f>
        <v>0</v>
      </c>
      <c r="C253" s="70" t="str">
        <f>Просчет!C246</f>
        <v>шт</v>
      </c>
      <c r="D253" s="9"/>
      <c r="E253" s="9"/>
      <c r="F253" s="9"/>
      <c r="G253" s="9"/>
    </row>
    <row r="254" spans="1:7" hidden="1" x14ac:dyDescent="0.25">
      <c r="A254" s="70" t="str">
        <f>Просчет!A247</f>
        <v>СпанИзол АМ (70м2)</v>
      </c>
      <c r="B254" s="70">
        <f>Просчет!B247</f>
        <v>0</v>
      </c>
      <c r="C254" s="70" t="str">
        <f>Просчет!C247</f>
        <v>шт</v>
      </c>
      <c r="D254" s="9"/>
      <c r="E254" s="9"/>
      <c r="F254" s="9"/>
      <c r="G254" s="9"/>
    </row>
    <row r="255" spans="1:7" hidden="1" x14ac:dyDescent="0.25">
      <c r="A255" s="70" t="str">
        <f>Просчет!A248</f>
        <v>СпанИзол АМ (35м2)</v>
      </c>
      <c r="B255" s="70">
        <f>Просчет!B248</f>
        <v>0</v>
      </c>
      <c r="C255" s="70" t="str">
        <f>Просчет!C248</f>
        <v>шт</v>
      </c>
      <c r="D255" s="9"/>
      <c r="E255" s="9"/>
      <c r="F255" s="9"/>
      <c r="G255" s="9"/>
    </row>
    <row r="256" spans="1:7" hidden="1" x14ac:dyDescent="0.25">
      <c r="A256" s="70" t="str">
        <f>Просчет!A249</f>
        <v>СпанИзол D (70м2)</v>
      </c>
      <c r="B256" s="70">
        <f>Просчет!B249</f>
        <v>0</v>
      </c>
      <c r="C256" s="70" t="str">
        <f>Просчет!C249</f>
        <v>шт</v>
      </c>
      <c r="D256" s="9"/>
      <c r="E256" s="9"/>
      <c r="F256" s="9"/>
      <c r="G256" s="9"/>
    </row>
    <row r="257" spans="1:7" hidden="1" x14ac:dyDescent="0.25">
      <c r="A257" s="70" t="str">
        <f>Просчет!A250</f>
        <v>СпанИзол D (35м2)</v>
      </c>
      <c r="B257" s="70">
        <f>Просчет!B250</f>
        <v>0</v>
      </c>
      <c r="C257" s="70" t="str">
        <f>Просчет!C250</f>
        <v>шт</v>
      </c>
      <c r="D257" s="9"/>
      <c r="E257" s="9"/>
      <c r="F257" s="9"/>
      <c r="G257" s="9"/>
    </row>
    <row r="258" spans="1:7" x14ac:dyDescent="0.25">
      <c r="A258" s="70" t="str">
        <f>Просчет!A251</f>
        <v>Ондутис Smart А120 (75м2)</v>
      </c>
      <c r="B258" s="70">
        <f>Просчет!B251</f>
        <v>3</v>
      </c>
      <c r="C258" s="70" t="str">
        <f>Просчет!C251</f>
        <v>шт</v>
      </c>
      <c r="D258" s="9"/>
      <c r="E258" s="9"/>
      <c r="F258" s="9"/>
      <c r="G258" s="9"/>
    </row>
    <row r="259" spans="1:7" x14ac:dyDescent="0.25">
      <c r="A259" s="70" t="str">
        <f>Просчет!A252</f>
        <v>Пароизоляционная пленка 200мркн (300м2)</v>
      </c>
      <c r="B259" s="70">
        <f>Просчет!B252</f>
        <v>0.5</v>
      </c>
      <c r="C259" s="70" t="str">
        <f>Просчет!C252</f>
        <v>шт</v>
      </c>
      <c r="D259" s="9"/>
      <c r="E259" s="9"/>
      <c r="F259" s="9"/>
      <c r="G259" s="9"/>
    </row>
    <row r="260" spans="1:7" x14ac:dyDescent="0.25">
      <c r="A260" s="70" t="str">
        <f>Просчет!A253</f>
        <v>Ондутис Smart SA 115 (75м2)</v>
      </c>
      <c r="B260" s="70">
        <f>Просчет!B253</f>
        <v>3</v>
      </c>
      <c r="C260" s="70" t="str">
        <f>Просчет!C253</f>
        <v>шт</v>
      </c>
      <c r="D260" s="9"/>
      <c r="E260" s="9"/>
      <c r="F260" s="9"/>
      <c r="G260" s="9"/>
    </row>
    <row r="261" spans="1:7" ht="15" customHeight="1" x14ac:dyDescent="0.25">
      <c r="A261" s="77" t="str">
        <f>Просчет!A254</f>
        <v>Погонажные изделия</v>
      </c>
      <c r="B261" s="71" t="s">
        <v>461</v>
      </c>
      <c r="C261" s="71" t="s">
        <v>461</v>
      </c>
      <c r="D261" s="74"/>
      <c r="E261" s="74"/>
      <c r="F261" s="74"/>
      <c r="G261" s="74"/>
    </row>
    <row r="262" spans="1:7" ht="15" hidden="1" customHeight="1" x14ac:dyDescent="0.25">
      <c r="A262" s="70" t="str">
        <f>Просчет!A255</f>
        <v>Плинтус 35</v>
      </c>
      <c r="B262" s="70">
        <f>Просчет!B255</f>
        <v>0</v>
      </c>
      <c r="C262" s="70" t="str">
        <f>Просчет!C255</f>
        <v>пог. М</v>
      </c>
      <c r="D262" s="9"/>
      <c r="E262" s="9"/>
      <c r="F262" s="9"/>
      <c r="G262" s="9"/>
    </row>
    <row r="263" spans="1:7" ht="15" hidden="1" customHeight="1" x14ac:dyDescent="0.3">
      <c r="A263" s="70" t="str">
        <f>Просчет!A256</f>
        <v>Плинтус 45</v>
      </c>
      <c r="B263" s="70">
        <f>Просчет!B256</f>
        <v>0</v>
      </c>
      <c r="C263" s="70" t="str">
        <f>Просчет!C256</f>
        <v>пог. М</v>
      </c>
      <c r="D263" s="9"/>
      <c r="E263" s="9"/>
      <c r="F263" s="9"/>
      <c r="G263" s="9"/>
    </row>
    <row r="264" spans="1:7" ht="15" hidden="1" customHeight="1" x14ac:dyDescent="0.3">
      <c r="A264" s="70" t="str">
        <f>Просчет!A257</f>
        <v>Нащельник широкий 2,2м</v>
      </c>
      <c r="B264" s="70">
        <f>Просчет!B257</f>
        <v>0</v>
      </c>
      <c r="C264" s="70" t="str">
        <f>Просчет!C257</f>
        <v>пог. М</v>
      </c>
      <c r="D264" s="9"/>
      <c r="E264" s="9"/>
      <c r="F264" s="9"/>
      <c r="G264" s="9"/>
    </row>
    <row r="265" spans="1:7" ht="15" hidden="1" customHeight="1" x14ac:dyDescent="0.3">
      <c r="A265" s="70" t="str">
        <f>Просчет!A258</f>
        <v>Обналичка 70</v>
      </c>
      <c r="B265" s="70">
        <f>Просчет!B258</f>
        <v>0</v>
      </c>
      <c r="C265" s="70" t="str">
        <f>Просчет!C258</f>
        <v>пог. М</v>
      </c>
      <c r="D265" s="9"/>
      <c r="E265" s="9"/>
      <c r="F265" s="9"/>
      <c r="G265" s="9"/>
    </row>
    <row r="266" spans="1:7" ht="15" hidden="1" customHeight="1" x14ac:dyDescent="0.3">
      <c r="A266" s="70" t="str">
        <f>Просчет!A259</f>
        <v>Обналичка 90</v>
      </c>
      <c r="B266" s="70">
        <f>Просчет!B259</f>
        <v>0</v>
      </c>
      <c r="C266" s="70" t="str">
        <f>Просчет!C259</f>
        <v>пог. М</v>
      </c>
      <c r="D266" s="9"/>
      <c r="E266" s="9"/>
      <c r="F266" s="9"/>
      <c r="G266" s="9"/>
    </row>
    <row r="267" spans="1:7" ht="15" hidden="1" customHeight="1" x14ac:dyDescent="0.3">
      <c r="A267" s="70" t="str">
        <f>Просчет!A260</f>
        <v>Обналичка 110 6м</v>
      </c>
      <c r="B267" s="70">
        <f>Просчет!B260</f>
        <v>0</v>
      </c>
      <c r="C267" s="70" t="str">
        <f>Просчет!C260</f>
        <v>пог. М</v>
      </c>
      <c r="D267" s="9"/>
      <c r="E267" s="9"/>
      <c r="F267" s="9"/>
      <c r="G267" s="9"/>
    </row>
    <row r="268" spans="1:7" ht="15" customHeight="1" x14ac:dyDescent="0.25">
      <c r="A268" s="70" t="str">
        <f>Просчет!A261</f>
        <v>Обналичка 110 3м</v>
      </c>
      <c r="B268" s="70">
        <f>Просчет!B261</f>
        <v>67</v>
      </c>
      <c r="C268" s="70" t="str">
        <f>Просчет!C261</f>
        <v>пог. М</v>
      </c>
      <c r="D268" s="9"/>
      <c r="E268" s="9"/>
      <c r="F268" s="9"/>
      <c r="G268" s="9"/>
    </row>
    <row r="269" spans="1:7" ht="15" hidden="1" customHeight="1" x14ac:dyDescent="0.3">
      <c r="A269" s="70" t="str">
        <f>Просчет!A262</f>
        <v>Угол 35</v>
      </c>
      <c r="B269" s="70">
        <f>Просчет!B262</f>
        <v>0</v>
      </c>
      <c r="C269" s="70" t="str">
        <f>Просчет!C262</f>
        <v>пог. М</v>
      </c>
      <c r="D269" s="9"/>
      <c r="E269" s="9"/>
      <c r="F269" s="9"/>
      <c r="G269" s="9"/>
    </row>
    <row r="270" spans="1:7" ht="15" hidden="1" customHeight="1" x14ac:dyDescent="0.3">
      <c r="A270" s="70" t="str">
        <f>Просчет!A263</f>
        <v>Угол 45</v>
      </c>
      <c r="B270" s="70">
        <f>Просчет!B263</f>
        <v>0</v>
      </c>
      <c r="C270" s="70" t="str">
        <f>Просчет!C263</f>
        <v>пог. М</v>
      </c>
      <c r="D270" s="9"/>
      <c r="E270" s="9"/>
      <c r="F270" s="9"/>
      <c r="G270" s="9"/>
    </row>
    <row r="271" spans="1:7" ht="15" customHeight="1" x14ac:dyDescent="0.25">
      <c r="A271" s="77" t="str">
        <f>Просчет!A264</f>
        <v>Элементы бани</v>
      </c>
      <c r="B271" s="71" t="s">
        <v>461</v>
      </c>
      <c r="C271" s="71" t="s">
        <v>461</v>
      </c>
      <c r="D271" s="74"/>
      <c r="E271" s="74"/>
      <c r="F271" s="74"/>
      <c r="G271" s="74"/>
    </row>
    <row r="272" spans="1:7" ht="12" hidden="1" customHeight="1" x14ac:dyDescent="0.3">
      <c r="A272" s="70" t="str">
        <f>Просчет!A265</f>
        <v>Смесь печная</v>
      </c>
      <c r="B272" s="70">
        <f>Просчет!B265</f>
        <v>0</v>
      </c>
      <c r="C272" s="70" t="str">
        <f>Просчет!C265</f>
        <v>шт</v>
      </c>
      <c r="D272" s="9"/>
      <c r="E272" s="9"/>
      <c r="F272" s="9"/>
      <c r="G272" s="9"/>
    </row>
    <row r="273" spans="1:7" ht="15" hidden="1" customHeight="1" x14ac:dyDescent="0.3">
      <c r="A273" s="70" t="str">
        <f>Просчет!A266</f>
        <v>Кирпич красный</v>
      </c>
      <c r="B273" s="70">
        <f>Просчет!B266</f>
        <v>0</v>
      </c>
      <c r="C273" s="70" t="str">
        <f>Просчет!C266</f>
        <v>шт</v>
      </c>
      <c r="D273" s="9"/>
      <c r="E273" s="9"/>
      <c r="F273" s="9"/>
      <c r="G273" s="9"/>
    </row>
    <row r="274" spans="1:7" ht="11.25" hidden="1" customHeight="1" x14ac:dyDescent="0.3">
      <c r="A274" s="70" t="str">
        <f>Просчет!A267</f>
        <v>Вагонка осина 90х12,5 - 2м</v>
      </c>
      <c r="B274" s="70">
        <f>Просчет!B267</f>
        <v>0</v>
      </c>
      <c r="C274" s="70" t="str">
        <f>Просчет!C267</f>
        <v>м2</v>
      </c>
      <c r="D274" s="9"/>
      <c r="E274" s="9"/>
      <c r="F274" s="9"/>
      <c r="G274" s="9"/>
    </row>
    <row r="275" spans="1:7" ht="15" hidden="1" customHeight="1" x14ac:dyDescent="0.3">
      <c r="A275" s="70" t="str">
        <f>Просчет!A268</f>
        <v>Вагонка липа 90х12,5 - 2м</v>
      </c>
      <c r="B275" s="70">
        <f>Просчет!B268</f>
        <v>0</v>
      </c>
      <c r="C275" s="70" t="str">
        <f>Просчет!C268</f>
        <v>м2</v>
      </c>
      <c r="D275" s="9"/>
      <c r="E275" s="9"/>
      <c r="F275" s="9"/>
      <c r="G275" s="9"/>
    </row>
    <row r="276" spans="1:7" ht="15" hidden="1" customHeight="1" x14ac:dyDescent="0.3">
      <c r="A276" s="70" t="str">
        <f>Просчет!A269</f>
        <v>Полог осина 3,0м (90), Сорт А</v>
      </c>
      <c r="B276" s="70">
        <f>Просчет!B269</f>
        <v>0</v>
      </c>
      <c r="C276" s="70" t="str">
        <f>Просчет!C269</f>
        <v>шт</v>
      </c>
      <c r="D276" s="9"/>
      <c r="E276" s="9"/>
      <c r="F276" s="9"/>
      <c r="G276" s="9"/>
    </row>
    <row r="277" spans="1:7" ht="15" hidden="1" customHeight="1" x14ac:dyDescent="0.3">
      <c r="A277" s="70" t="str">
        <f>Просчет!A270</f>
        <v>ОСА Термофор</v>
      </c>
      <c r="B277" s="70">
        <f>Просчет!B270</f>
        <v>0</v>
      </c>
      <c r="C277" s="70" t="str">
        <f>Просчет!C270</f>
        <v>шт</v>
      </c>
      <c r="D277" s="9"/>
      <c r="E277" s="9"/>
      <c r="F277" s="9"/>
      <c r="G277" s="9"/>
    </row>
    <row r="278" spans="1:7" ht="15" hidden="1" customHeight="1" x14ac:dyDescent="0.3">
      <c r="A278" s="70" t="str">
        <f>Просчет!A271</f>
        <v>Печь термофор,10, бак на 55л</v>
      </c>
      <c r="B278" s="70">
        <f>Просчет!B271</f>
        <v>0</v>
      </c>
      <c r="C278" s="70" t="str">
        <f>Просчет!C271</f>
        <v>шт</v>
      </c>
      <c r="D278" s="9"/>
      <c r="E278" s="9"/>
      <c r="F278" s="9"/>
      <c r="G278" s="9"/>
    </row>
    <row r="279" spans="1:7" ht="15" hidden="1" customHeight="1" x14ac:dyDescent="0.3">
      <c r="A279" s="70" t="str">
        <f>Просчет!A272</f>
        <v>Печь термофор, 15</v>
      </c>
      <c r="B279" s="70">
        <f>Просчет!B272</f>
        <v>0</v>
      </c>
      <c r="C279" s="70" t="str">
        <f>Просчет!C272</f>
        <v>шт</v>
      </c>
      <c r="D279" s="9"/>
      <c r="E279" s="9"/>
      <c r="F279" s="9"/>
      <c r="G279" s="9"/>
    </row>
    <row r="280" spans="1:7" ht="15" hidden="1" customHeight="1" x14ac:dyDescent="0.3">
      <c r="A280" s="70" t="str">
        <f>Просчет!A273</f>
        <v>Печь кирасир,10 в перегородку</v>
      </c>
      <c r="B280" s="70">
        <f>Просчет!B273</f>
        <v>0</v>
      </c>
      <c r="C280" s="70" t="str">
        <f>Просчет!C273</f>
        <v>шт</v>
      </c>
      <c r="D280" s="9"/>
      <c r="E280" s="9"/>
      <c r="F280" s="9"/>
      <c r="G280" s="9"/>
    </row>
    <row r="281" spans="1:7" ht="15" hidden="1" customHeight="1" x14ac:dyDescent="0.3">
      <c r="A281" s="70" t="str">
        <f>Просчет!A274</f>
        <v>Кирасир 15</v>
      </c>
      <c r="B281" s="70">
        <f>Просчет!B274</f>
        <v>0</v>
      </c>
      <c r="C281" s="70" t="str">
        <f>Просчет!C274</f>
        <v>шт</v>
      </c>
      <c r="D281" s="9"/>
      <c r="E281" s="9"/>
      <c r="F281" s="9"/>
      <c r="G281" s="9"/>
    </row>
    <row r="282" spans="1:7" ht="14.45" hidden="1" x14ac:dyDescent="0.3">
      <c r="A282" s="70" t="str">
        <f>Просчет!A275</f>
        <v>Печь кирасир,15, интро</v>
      </c>
      <c r="B282" s="70">
        <f>Просчет!B275</f>
        <v>0</v>
      </c>
      <c r="C282" s="70" t="str">
        <f>Просчет!C275</f>
        <v>шт</v>
      </c>
      <c r="D282" s="9"/>
      <c r="E282" s="9"/>
      <c r="F282" s="9"/>
      <c r="G282" s="9"/>
    </row>
    <row r="283" spans="1:7" ht="15" hidden="1" customHeight="1" x14ac:dyDescent="0.3">
      <c r="A283" s="70" t="str">
        <f>Просчет!A276</f>
        <v>Труба гофр</v>
      </c>
      <c r="B283" s="70">
        <f>Просчет!B276</f>
        <v>0</v>
      </c>
      <c r="C283" s="70" t="str">
        <f>Просчет!C276</f>
        <v>шт</v>
      </c>
      <c r="D283" s="9"/>
      <c r="E283" s="9"/>
      <c r="F283" s="9"/>
      <c r="G283" s="9"/>
    </row>
    <row r="284" spans="1:7" ht="15" hidden="1" customHeight="1" x14ac:dyDescent="0.3">
      <c r="A284" s="70" t="str">
        <f>Просчет!A277</f>
        <v>Кран шаровый</v>
      </c>
      <c r="B284" s="70">
        <f>Просчет!B277</f>
        <v>0</v>
      </c>
      <c r="C284" s="70" t="str">
        <f>Просчет!C277</f>
        <v>шт</v>
      </c>
      <c r="D284" s="9"/>
      <c r="E284" s="9"/>
      <c r="F284" s="9"/>
      <c r="G284" s="9"/>
    </row>
    <row r="285" spans="1:7" ht="15" hidden="1" customHeight="1" x14ac:dyDescent="0.3">
      <c r="A285" s="70" t="str">
        <f>Просчет!A278</f>
        <v>Фольга</v>
      </c>
      <c r="B285" s="70">
        <f>Просчет!B278</f>
        <v>0</v>
      </c>
      <c r="C285" s="70" t="str">
        <f>Просчет!C278</f>
        <v>м2</v>
      </c>
      <c r="D285" s="9"/>
      <c r="E285" s="9"/>
      <c r="F285" s="9"/>
      <c r="G285" s="9"/>
    </row>
    <row r="286" spans="1:7" ht="15" hidden="1" customHeight="1" x14ac:dyDescent="0.3">
      <c r="A286" s="70" t="str">
        <f>Просчет!A279</f>
        <v>Доп. Сендвич</v>
      </c>
      <c r="B286" s="70">
        <f>Просчет!B279</f>
        <v>0</v>
      </c>
      <c r="C286" s="70" t="str">
        <f>Просчет!C279</f>
        <v>шт</v>
      </c>
      <c r="D286" s="9"/>
      <c r="E286" s="9"/>
      <c r="F286" s="9"/>
      <c r="G286" s="9"/>
    </row>
    <row r="287" spans="1:7" ht="15" hidden="1" customHeight="1" x14ac:dyDescent="0.3">
      <c r="A287" s="70" t="str">
        <f>Просчет!A280</f>
        <v>Доп. ППУ</v>
      </c>
      <c r="B287" s="70">
        <f>Просчет!B280</f>
        <v>0</v>
      </c>
      <c r="C287" s="70" t="str">
        <f>Просчет!C280</f>
        <v>шт</v>
      </c>
      <c r="D287" s="9"/>
      <c r="E287" s="9"/>
      <c r="F287" s="9"/>
      <c r="G287" s="9"/>
    </row>
    <row r="288" spans="1:7" ht="15" hidden="1" customHeight="1" x14ac:dyDescent="0.3">
      <c r="A288" s="70" t="str">
        <f>Просчет!A281</f>
        <v>Печь отопительная</v>
      </c>
      <c r="B288" s="70">
        <f>Просчет!B281</f>
        <v>0</v>
      </c>
      <c r="C288" s="70" t="str">
        <f>Просчет!C281</f>
        <v>шт</v>
      </c>
      <c r="D288" s="9"/>
      <c r="E288" s="9"/>
      <c r="F288" s="9"/>
      <c r="G288" s="9"/>
    </row>
    <row r="289" spans="1:7" ht="15" hidden="1" customHeight="1" x14ac:dyDescent="0.3">
      <c r="A289" s="70" t="str">
        <f>Просчет!A282</f>
        <v>Труба, пластик, 110 мм, 1 м.</v>
      </c>
      <c r="B289" s="70">
        <f>Просчет!B282</f>
        <v>0</v>
      </c>
      <c r="C289" s="70" t="str">
        <f>Просчет!C282</f>
        <v>шт</v>
      </c>
      <c r="D289" s="9"/>
      <c r="E289" s="9"/>
      <c r="F289" s="9"/>
      <c r="G289" s="9"/>
    </row>
    <row r="290" spans="1:7" ht="15" hidden="1" customHeight="1" x14ac:dyDescent="0.3">
      <c r="A290" s="70" t="str">
        <f>Просчет!A283</f>
        <v>Угол, 110 мм, 90 градусов</v>
      </c>
      <c r="B290" s="70">
        <f>Просчет!B283</f>
        <v>0</v>
      </c>
      <c r="C290" s="70" t="str">
        <f>Просчет!C283</f>
        <v>шт</v>
      </c>
      <c r="D290" s="9"/>
      <c r="E290" s="9"/>
      <c r="F290" s="9"/>
      <c r="G290" s="9"/>
    </row>
    <row r="291" spans="1:7" ht="14.45" hidden="1" x14ac:dyDescent="0.3">
      <c r="A291" s="70" t="str">
        <f>Просчет!A284</f>
        <v>Угол, 110 мм, 45 градусов</v>
      </c>
      <c r="B291" s="70">
        <f>Просчет!B284</f>
        <v>0</v>
      </c>
      <c r="C291" s="70" t="str">
        <f>Просчет!C284</f>
        <v>шт</v>
      </c>
      <c r="D291" s="9"/>
      <c r="E291" s="9"/>
      <c r="F291" s="9"/>
      <c r="G291" s="153"/>
    </row>
    <row r="292" spans="1:7" ht="14.45" hidden="1" x14ac:dyDescent="0.3">
      <c r="A292" s="70" t="str">
        <f>Просчет!A285</f>
        <v>Мастер Флеш вишня</v>
      </c>
      <c r="B292" s="70">
        <f>Просчет!B285</f>
        <v>0</v>
      </c>
      <c r="C292" s="70" t="str">
        <f>Просчет!C285</f>
        <v>шт</v>
      </c>
      <c r="D292" s="9"/>
      <c r="E292" s="9"/>
      <c r="F292" s="9"/>
      <c r="G292" s="153"/>
    </row>
    <row r="293" spans="1:7" ht="14.45" hidden="1" x14ac:dyDescent="0.3">
      <c r="A293" s="70" t="str">
        <f>Просчет!A286</f>
        <v>Керамзит</v>
      </c>
      <c r="B293" s="70">
        <f>Просчет!B286</f>
        <v>0</v>
      </c>
      <c r="C293" s="70" t="str">
        <f>Просчет!C286</f>
        <v>шт</v>
      </c>
      <c r="D293" s="9"/>
      <c r="E293" s="9"/>
      <c r="F293" s="9"/>
      <c r="G293" s="153"/>
    </row>
    <row r="294" spans="1:7" ht="14.45" hidden="1" x14ac:dyDescent="0.3">
      <c r="A294" s="70" t="str">
        <f>Просчет!A289</f>
        <v xml:space="preserve">Отвод воды за пределы бани </v>
      </c>
      <c r="B294" s="70">
        <f>Просчет!B289</f>
        <v>0</v>
      </c>
      <c r="C294" s="70" t="str">
        <f>Просчет!C289</f>
        <v>шт</v>
      </c>
      <c r="D294" s="9"/>
      <c r="E294" s="9"/>
      <c r="F294" s="9"/>
      <c r="G294" s="153"/>
    </row>
    <row r="295" spans="1:7" x14ac:dyDescent="0.25">
      <c r="A295" s="77" t="str">
        <f>Просчет!A290</f>
        <v>Прочее (вписывается руками)</v>
      </c>
      <c r="B295" s="71" t="s">
        <v>461</v>
      </c>
      <c r="C295" s="71" t="s">
        <v>461</v>
      </c>
      <c r="D295" s="74"/>
      <c r="E295" s="74"/>
      <c r="F295" s="74"/>
      <c r="G295" s="154"/>
    </row>
    <row r="296" spans="1:7" hidden="1" x14ac:dyDescent="0.25">
      <c r="A296" s="70" t="str">
        <f>Просчет!A291</f>
        <v>25*100*6 2-й сорт</v>
      </c>
      <c r="B296" s="70">
        <f>Просчет!B291</f>
        <v>0</v>
      </c>
      <c r="C296" s="70" t="str">
        <f>Просчет!C291</f>
        <v>шт</v>
      </c>
      <c r="D296" s="9"/>
      <c r="E296" s="9"/>
      <c r="F296" s="9"/>
      <c r="G296" s="153"/>
    </row>
    <row r="297" spans="1:7" hidden="1" x14ac:dyDescent="0.25">
      <c r="A297" s="70" t="str">
        <f>Просчет!A292</f>
        <v>50*100*6 2-й сорт</v>
      </c>
      <c r="B297" s="70">
        <f>Просчет!B292</f>
        <v>0</v>
      </c>
      <c r="C297" s="70" t="str">
        <f>Просчет!C292</f>
        <v>шт</v>
      </c>
      <c r="D297" s="9"/>
      <c r="E297" s="9"/>
      <c r="F297" s="9"/>
      <c r="G297" s="153"/>
    </row>
    <row r="298" spans="1:7" hidden="1" x14ac:dyDescent="0.25">
      <c r="A298" s="70" t="str">
        <f>Просчет!A293</f>
        <v>50*150*6 2-й сорт</v>
      </c>
      <c r="B298" s="70">
        <f>Просчет!B293</f>
        <v>0</v>
      </c>
      <c r="C298" s="70" t="str">
        <f>Просчет!C293</f>
        <v>шт</v>
      </c>
      <c r="D298" s="9"/>
      <c r="E298" s="9"/>
      <c r="F298" s="9"/>
      <c r="G298" s="153"/>
    </row>
    <row r="299" spans="1:7" ht="14.45" hidden="1" x14ac:dyDescent="0.3">
      <c r="A299" s="70">
        <f>Просчет!A294</f>
        <v>0</v>
      </c>
      <c r="B299" s="70">
        <f>Просчет!B294</f>
        <v>0</v>
      </c>
      <c r="C299" s="70">
        <f>Просчет!C294</f>
        <v>0</v>
      </c>
      <c r="D299" s="9"/>
      <c r="E299" s="9"/>
      <c r="F299" s="9"/>
      <c r="G299" s="153"/>
    </row>
    <row r="300" spans="1:7" ht="14.45" hidden="1" x14ac:dyDescent="0.3">
      <c r="A300" s="70">
        <f>Просчет!A295</f>
        <v>0</v>
      </c>
      <c r="B300" s="70">
        <f>Просчет!B295</f>
        <v>0</v>
      </c>
      <c r="C300" s="70">
        <f>Просчет!C295</f>
        <v>0</v>
      </c>
      <c r="D300" s="9"/>
      <c r="E300" s="9"/>
      <c r="F300" s="9"/>
      <c r="G300" s="153"/>
    </row>
    <row r="301" spans="1:7" ht="15" hidden="1" customHeight="1" x14ac:dyDescent="0.3">
      <c r="A301" s="70">
        <f>Просчет!A296</f>
        <v>0</v>
      </c>
      <c r="B301" s="70">
        <f>Просчет!B296</f>
        <v>0</v>
      </c>
      <c r="C301" s="70">
        <f>Просчет!C296</f>
        <v>0</v>
      </c>
      <c r="D301" s="9"/>
      <c r="E301" s="9"/>
      <c r="F301" s="9"/>
      <c r="G301" s="9"/>
    </row>
    <row r="302" spans="1:7" ht="15" hidden="1" customHeight="1" x14ac:dyDescent="0.3">
      <c r="A302" s="70">
        <f>Просчет!A297</f>
        <v>0</v>
      </c>
      <c r="B302" s="70">
        <f>Просчет!B297</f>
        <v>0</v>
      </c>
      <c r="C302" s="70">
        <f>Просчет!C297</f>
        <v>0</v>
      </c>
      <c r="D302" s="9"/>
      <c r="E302" s="9"/>
      <c r="F302" s="9"/>
      <c r="G302" s="9"/>
    </row>
    <row r="303" spans="1:7" ht="15" hidden="1" customHeight="1" x14ac:dyDescent="0.3">
      <c r="A303" s="70">
        <f>Просчет!A298</f>
        <v>0</v>
      </c>
      <c r="B303" s="70">
        <f>Просчет!B298</f>
        <v>0</v>
      </c>
      <c r="C303" s="70">
        <f>Просчет!C298</f>
        <v>0</v>
      </c>
      <c r="D303" s="9"/>
      <c r="E303" s="9"/>
      <c r="F303" s="9"/>
      <c r="G303" s="9"/>
    </row>
    <row r="304" spans="1:7" ht="15" hidden="1" customHeight="1" x14ac:dyDescent="0.3">
      <c r="A304" s="70">
        <f>Просчет!A299</f>
        <v>0</v>
      </c>
      <c r="B304" s="70">
        <f>Просчет!B299</f>
        <v>0</v>
      </c>
      <c r="C304" s="70">
        <f>Просчет!C299</f>
        <v>0</v>
      </c>
      <c r="D304" s="9"/>
      <c r="E304" s="9"/>
      <c r="F304" s="9"/>
      <c r="G304" s="9"/>
    </row>
    <row r="305" spans="1:10" ht="15" customHeight="1" x14ac:dyDescent="0.25">
      <c r="A305" s="77" t="str">
        <f>Просчет!A300</f>
        <v>Наружная обработка дома (покрытие красками)</v>
      </c>
      <c r="B305" s="71" t="s">
        <v>461</v>
      </c>
      <c r="C305" s="71" t="s">
        <v>461</v>
      </c>
      <c r="D305" s="74"/>
      <c r="E305" s="74"/>
      <c r="F305" s="74"/>
      <c r="G305" s="74"/>
    </row>
    <row r="306" spans="1:10" ht="15" customHeight="1" x14ac:dyDescent="0.25">
      <c r="A306" s="70" t="str">
        <f>Просчет!A301</f>
        <v>Краска Teknos (укрывная)</v>
      </c>
      <c r="B306" s="70">
        <f>Просчет!B301</f>
        <v>334.32</v>
      </c>
      <c r="C306" s="70" t="str">
        <f>Просчет!C301</f>
        <v>м2</v>
      </c>
      <c r="D306" s="9"/>
      <c r="E306" s="9"/>
      <c r="F306" s="9"/>
      <c r="G306" s="9"/>
    </row>
    <row r="307" spans="1:10" ht="45" x14ac:dyDescent="0.25">
      <c r="A307" s="114" t="str">
        <f>Просчет!A302</f>
        <v>Материал</v>
      </c>
      <c r="B307" s="114" t="str">
        <f>Просчет!B302</f>
        <v>Кол-во</v>
      </c>
      <c r="C307" s="114" t="str">
        <f>Просчет!C302</f>
        <v>Ед. Изм.</v>
      </c>
      <c r="D307" s="114" t="str">
        <f>Просчет!D302</f>
        <v>Объем, м2 для заказа краски</v>
      </c>
      <c r="E307" s="114" t="str">
        <f>Просчет!E302</f>
        <v>Общее кол-во краски с учетом слоев</v>
      </c>
      <c r="F307" s="114" t="str">
        <f>Просчет!F302</f>
        <v>Бренд</v>
      </c>
      <c r="G307" s="114" t="str">
        <f>Просчет!G302</f>
        <v>Тип</v>
      </c>
      <c r="H307" s="114" t="str">
        <f>Просчет!H302</f>
        <v>Цвет</v>
      </c>
      <c r="I307" s="114" t="str">
        <f>Просчет!I302</f>
        <v>Где красим</v>
      </c>
      <c r="J307" s="114" t="str">
        <f>Просчет!J302</f>
        <v>Технология</v>
      </c>
    </row>
    <row r="308" spans="1:10" x14ac:dyDescent="0.25">
      <c r="A308" s="86" t="str">
        <f>Просчет!A303</f>
        <v>Планкен 145х19- 6м, Сорт АВ (наружная отделка)</v>
      </c>
      <c r="B308" s="86">
        <f>Просчет!B303</f>
        <v>95</v>
      </c>
      <c r="C308" s="86" t="str">
        <f>Просчет!C303</f>
        <v>м2</v>
      </c>
      <c r="D308" s="86">
        <f>Просчет!D303</f>
        <v>95</v>
      </c>
      <c r="E308" s="86">
        <f>Просчет!E303</f>
        <v>190</v>
      </c>
      <c r="F308" s="86" t="str">
        <f>Просчет!F303</f>
        <v>Teknos</v>
      </c>
      <c r="G308" s="86" t="str">
        <f>Просчет!G303</f>
        <v>Краска</v>
      </c>
      <c r="H308" s="86">
        <f>Просчет!H303</f>
        <v>1804</v>
      </c>
      <c r="I308" s="86" t="str">
        <f>Просчет!I303</f>
        <v>Производство</v>
      </c>
      <c r="J308" s="86">
        <f>Просчет!J303</f>
        <v>0</v>
      </c>
    </row>
    <row r="309" spans="1:10" x14ac:dyDescent="0.25">
      <c r="A309" s="86" t="str">
        <f>Просчет!A304</f>
        <v>Планкен 145х19- 6м, Сорт АВ (наружная отделка)</v>
      </c>
      <c r="B309" s="86">
        <f>Просчет!B304</f>
        <v>46</v>
      </c>
      <c r="C309" s="86" t="str">
        <f>Просчет!C304</f>
        <v>м2</v>
      </c>
      <c r="D309" s="86">
        <f>Просчет!D304</f>
        <v>46</v>
      </c>
      <c r="E309" s="86">
        <f>Просчет!E304</f>
        <v>92</v>
      </c>
      <c r="F309" s="86" t="str">
        <f>Просчет!F304</f>
        <v>Teknos</v>
      </c>
      <c r="G309" s="86" t="str">
        <f>Просчет!G304</f>
        <v>Краска</v>
      </c>
      <c r="H309" s="86" t="str">
        <f>Просчет!H304</f>
        <v>Т7057</v>
      </c>
      <c r="I309" s="86" t="str">
        <f>Просчет!I304</f>
        <v>Производство</v>
      </c>
      <c r="J309" s="86">
        <f>Просчет!J304</f>
        <v>0</v>
      </c>
    </row>
    <row r="310" spans="1:10" x14ac:dyDescent="0.25">
      <c r="A310" s="86" t="str">
        <f>Просчет!A305</f>
        <v>Планкен 145х19- 6м, Сорт АВ (карнизы)</v>
      </c>
      <c r="B310" s="86">
        <f>Просчет!B305</f>
        <v>99</v>
      </c>
      <c r="C310" s="86" t="str">
        <f>Просчет!C305</f>
        <v>м2</v>
      </c>
      <c r="D310" s="86">
        <f>Просчет!D305</f>
        <v>99</v>
      </c>
      <c r="E310" s="86">
        <f>Просчет!E305</f>
        <v>198</v>
      </c>
      <c r="F310" s="86" t="str">
        <f>Просчет!F305</f>
        <v>Teknos</v>
      </c>
      <c r="G310" s="86" t="str">
        <f>Просчет!G305</f>
        <v>Краска</v>
      </c>
      <c r="H310" s="86" t="str">
        <f>Просчет!H305</f>
        <v>Т7057</v>
      </c>
      <c r="I310" s="86" t="str">
        <f>Просчет!I305</f>
        <v>Производство</v>
      </c>
      <c r="J310" s="86">
        <f>Просчет!J305</f>
        <v>0</v>
      </c>
    </row>
    <row r="311" spans="1:10" x14ac:dyDescent="0.25">
      <c r="A311" s="86" t="str">
        <f>Просчет!A306</f>
        <v>Террасная доска 112х24 - 6м, Сорт АВ</v>
      </c>
      <c r="B311" s="86">
        <f>Просчет!B306</f>
        <v>36</v>
      </c>
      <c r="C311" s="86" t="str">
        <f>Просчет!C306</f>
        <v>м2</v>
      </c>
      <c r="D311" s="86">
        <f>Просчет!D306</f>
        <v>36</v>
      </c>
      <c r="E311" s="86">
        <f>Просчет!E306</f>
        <v>72</v>
      </c>
      <c r="F311" s="86" t="str">
        <f>Просчет!F306</f>
        <v>Teknos</v>
      </c>
      <c r="G311" s="86" t="str">
        <f>Просчет!G306</f>
        <v>Краска</v>
      </c>
      <c r="H311" s="86">
        <f>Просчет!H306</f>
        <v>1804</v>
      </c>
      <c r="I311" s="86" t="str">
        <f>Просчет!I306</f>
        <v>Производство</v>
      </c>
      <c r="J311" s="86">
        <f>Просчет!J306</f>
        <v>0</v>
      </c>
    </row>
    <row r="312" spans="1:10" x14ac:dyDescent="0.25">
      <c r="A312" s="86" t="str">
        <f>Просчет!A307</f>
        <v>45*140*6</v>
      </c>
      <c r="B312" s="86">
        <f>Просчет!B307</f>
        <v>27</v>
      </c>
      <c r="C312" s="86" t="str">
        <f>Просчет!C307</f>
        <v>шт</v>
      </c>
      <c r="D312" s="86">
        <f>Просчет!D307</f>
        <v>58.32</v>
      </c>
      <c r="E312" s="86">
        <f>Просчет!E307</f>
        <v>116.64</v>
      </c>
      <c r="F312" s="86" t="str">
        <f>Просчет!F307</f>
        <v>Teknos</v>
      </c>
      <c r="G312" s="86" t="str">
        <f>Просчет!G307</f>
        <v>Краска</v>
      </c>
      <c r="H312" s="86" t="str">
        <f>Просчет!H307</f>
        <v>Т7057</v>
      </c>
      <c r="I312" s="86" t="str">
        <f>Просчет!I307</f>
        <v>Производство</v>
      </c>
      <c r="J312" s="86" t="s">
        <v>1048</v>
      </c>
    </row>
    <row r="313" spans="1:10" hidden="1" x14ac:dyDescent="0.25">
      <c r="A313" s="86">
        <f>Просчет!A308</f>
        <v>0</v>
      </c>
      <c r="B313" s="86" t="e">
        <f>Просчет!B308</f>
        <v>#N/A</v>
      </c>
      <c r="C313" s="86" t="e">
        <f>Просчет!C308</f>
        <v>#N/A</v>
      </c>
      <c r="D313" s="86">
        <f>Просчет!D308</f>
        <v>0</v>
      </c>
      <c r="E313" s="86">
        <f>Просчет!E308</f>
        <v>0</v>
      </c>
      <c r="F313" s="86" t="str">
        <f>Просчет!F308</f>
        <v>Teknos</v>
      </c>
      <c r="G313" s="86" t="str">
        <f>Просчет!G308</f>
        <v>Краска</v>
      </c>
      <c r="H313" s="86">
        <f>Просчет!H308</f>
        <v>0</v>
      </c>
      <c r="I313" s="86">
        <f>Просчет!I308</f>
        <v>0</v>
      </c>
      <c r="J313" s="86">
        <f>Просчет!J308</f>
        <v>0</v>
      </c>
    </row>
    <row r="314" spans="1:10" hidden="1" x14ac:dyDescent="0.25">
      <c r="A314" s="86">
        <f>Просчет!A309</f>
        <v>0</v>
      </c>
      <c r="B314" s="86" t="e">
        <f>Просчет!B309</f>
        <v>#N/A</v>
      </c>
      <c r="C314" s="86" t="e">
        <f>Просчет!C309</f>
        <v>#N/A</v>
      </c>
      <c r="D314" s="86">
        <f>Просчет!D309</f>
        <v>0</v>
      </c>
      <c r="E314" s="86">
        <f>Просчет!E309</f>
        <v>0</v>
      </c>
      <c r="F314" s="86" t="str">
        <f>Просчет!F309</f>
        <v>Teknos</v>
      </c>
      <c r="G314" s="86" t="str">
        <f>Просчет!G309</f>
        <v>Краска</v>
      </c>
      <c r="H314" s="86">
        <f>Просчет!H309</f>
        <v>0</v>
      </c>
      <c r="I314" s="86">
        <f>Просчет!I309</f>
        <v>0</v>
      </c>
      <c r="J314" s="86">
        <f>Просчет!J309</f>
        <v>0</v>
      </c>
    </row>
    <row r="315" spans="1:10" hidden="1" x14ac:dyDescent="0.25">
      <c r="A315" s="86">
        <f>Просчет!A310</f>
        <v>0</v>
      </c>
      <c r="B315" s="86" t="e">
        <f>Просчет!B310</f>
        <v>#N/A</v>
      </c>
      <c r="C315" s="86" t="e">
        <f>Просчет!C310</f>
        <v>#N/A</v>
      </c>
      <c r="D315" s="86">
        <f>Просчет!D310</f>
        <v>0</v>
      </c>
      <c r="E315" s="86">
        <f>Просчет!E310</f>
        <v>0</v>
      </c>
      <c r="F315" s="86" t="str">
        <f>Просчет!F310</f>
        <v>Teknos</v>
      </c>
      <c r="G315" s="86" t="str">
        <f>Просчет!G310</f>
        <v>Краска</v>
      </c>
      <c r="H315" s="86">
        <f>Просчет!H310</f>
        <v>0</v>
      </c>
      <c r="I315" s="86">
        <f>Просчет!I310</f>
        <v>0</v>
      </c>
      <c r="J315" s="86">
        <f>Просчет!J310</f>
        <v>0</v>
      </c>
    </row>
    <row r="316" spans="1:10" hidden="1" x14ac:dyDescent="0.25">
      <c r="A316" s="86">
        <f>Просчет!A311</f>
        <v>0</v>
      </c>
      <c r="B316" s="86" t="e">
        <f>Просчет!B311</f>
        <v>#N/A</v>
      </c>
      <c r="C316" s="86" t="e">
        <f>Просчет!C311</f>
        <v>#N/A</v>
      </c>
      <c r="D316" s="86">
        <f>Просчет!D311</f>
        <v>0</v>
      </c>
      <c r="E316" s="86">
        <f>Просчет!E311</f>
        <v>0</v>
      </c>
      <c r="F316" s="86" t="str">
        <f>Просчет!F311</f>
        <v>Teknos</v>
      </c>
      <c r="G316" s="86" t="str">
        <f>Просчет!G311</f>
        <v>Краска</v>
      </c>
      <c r="H316" s="86">
        <f>Просчет!H311</f>
        <v>0</v>
      </c>
      <c r="I316" s="86">
        <f>Просчет!I311</f>
        <v>0</v>
      </c>
      <c r="J316" s="86">
        <f>Просчет!J311</f>
        <v>0</v>
      </c>
    </row>
    <row r="317" spans="1:10" hidden="1" x14ac:dyDescent="0.25">
      <c r="A317" s="86">
        <f>Просчет!A312</f>
        <v>0</v>
      </c>
      <c r="B317" s="86" t="e">
        <f>Просчет!B312</f>
        <v>#N/A</v>
      </c>
      <c r="C317" s="86" t="e">
        <f>Просчет!C312</f>
        <v>#N/A</v>
      </c>
      <c r="D317" s="86">
        <f>Просчет!D312</f>
        <v>0</v>
      </c>
      <c r="E317" s="86">
        <f>Просчет!E312</f>
        <v>0</v>
      </c>
      <c r="F317" s="86" t="str">
        <f>Просчет!F312</f>
        <v>Teknos</v>
      </c>
      <c r="G317" s="86" t="str">
        <f>Просчет!G312</f>
        <v>Краска</v>
      </c>
      <c r="H317" s="86">
        <f>Просчет!H312</f>
        <v>0</v>
      </c>
      <c r="I317" s="86">
        <f>Просчет!I312</f>
        <v>0</v>
      </c>
      <c r="J317" s="86">
        <f>Просчет!J312</f>
        <v>0</v>
      </c>
    </row>
    <row r="318" spans="1:10" ht="15" hidden="1" customHeight="1" x14ac:dyDescent="0.25">
      <c r="A318" s="86">
        <f>Просчет!A313</f>
        <v>0</v>
      </c>
      <c r="B318" s="86" t="e">
        <f>Просчет!B313</f>
        <v>#N/A</v>
      </c>
      <c r="C318" s="86" t="e">
        <f>Просчет!C313</f>
        <v>#N/A</v>
      </c>
      <c r="D318" s="86">
        <f>Просчет!D313</f>
        <v>0</v>
      </c>
      <c r="E318" s="86">
        <f>Просчет!E313</f>
        <v>0</v>
      </c>
      <c r="F318" s="86" t="str">
        <f>Просчет!F313</f>
        <v>Teknos</v>
      </c>
      <c r="G318" s="86" t="str">
        <f>Просчет!G313</f>
        <v>Краска</v>
      </c>
      <c r="H318" s="86">
        <f>Просчет!H313</f>
        <v>0</v>
      </c>
      <c r="I318" s="86">
        <f>Просчет!I313</f>
        <v>0</v>
      </c>
      <c r="J318" s="86">
        <f>Просчет!J313</f>
        <v>0</v>
      </c>
    </row>
    <row r="319" spans="1:10" ht="15" hidden="1" customHeight="1" x14ac:dyDescent="0.25">
      <c r="A319" s="86">
        <f>Просчет!A314</f>
        <v>0</v>
      </c>
      <c r="B319" s="86" t="e">
        <f>Просчет!B314</f>
        <v>#N/A</v>
      </c>
      <c r="C319" s="86" t="e">
        <f>Просчет!C314</f>
        <v>#N/A</v>
      </c>
      <c r="D319" s="86">
        <f>Просчет!D314</f>
        <v>0</v>
      </c>
      <c r="E319" s="86">
        <f>Просчет!E314</f>
        <v>0</v>
      </c>
      <c r="F319" s="86" t="str">
        <f>Просчет!F314</f>
        <v>Teknos</v>
      </c>
      <c r="G319" s="86" t="str">
        <f>Просчет!G314</f>
        <v>Краска</v>
      </c>
      <c r="H319" s="86">
        <f>Просчет!H314</f>
        <v>0</v>
      </c>
      <c r="I319" s="86">
        <f>Просчет!I314</f>
        <v>0</v>
      </c>
      <c r="J319" s="86">
        <f>Просчет!J314</f>
        <v>0</v>
      </c>
    </row>
    <row r="320" spans="1:10" ht="15" hidden="1" customHeight="1" x14ac:dyDescent="0.25">
      <c r="A320" s="86">
        <f>Просчет!A315</f>
        <v>0</v>
      </c>
      <c r="B320" s="86" t="e">
        <f>Просчет!B315</f>
        <v>#N/A</v>
      </c>
      <c r="C320" s="86" t="e">
        <f>Просчет!C315</f>
        <v>#N/A</v>
      </c>
      <c r="D320" s="86">
        <f>Просчет!D315</f>
        <v>0</v>
      </c>
      <c r="E320" s="86">
        <f>Просчет!E315</f>
        <v>0</v>
      </c>
      <c r="F320" s="86" t="str">
        <f>Просчет!F315</f>
        <v>Teknos</v>
      </c>
      <c r="G320" s="86" t="str">
        <f>Просчет!G315</f>
        <v>Краска</v>
      </c>
      <c r="H320" s="86">
        <f>Просчет!H315</f>
        <v>0</v>
      </c>
      <c r="I320" s="86">
        <f>Просчет!I315</f>
        <v>0</v>
      </c>
      <c r="J320" s="86">
        <f>Просчет!J315</f>
        <v>0</v>
      </c>
    </row>
    <row r="321" spans="1:10" ht="15" hidden="1" customHeight="1" x14ac:dyDescent="0.25">
      <c r="A321" s="86">
        <f>Просчет!A316</f>
        <v>0</v>
      </c>
      <c r="B321" s="86" t="e">
        <f>Просчет!B316</f>
        <v>#N/A</v>
      </c>
      <c r="C321" s="86" t="e">
        <f>Просчет!C316</f>
        <v>#N/A</v>
      </c>
      <c r="D321" s="86">
        <f>Просчет!D316</f>
        <v>0</v>
      </c>
      <c r="E321" s="86">
        <f>Просчет!E316</f>
        <v>0</v>
      </c>
      <c r="F321" s="86" t="str">
        <f>Просчет!F316</f>
        <v>Teknos</v>
      </c>
      <c r="G321" s="86" t="str">
        <f>Просчет!G316</f>
        <v>Краска</v>
      </c>
      <c r="H321" s="86">
        <f>Просчет!H316</f>
        <v>0</v>
      </c>
      <c r="I321" s="86">
        <f>Просчет!I316</f>
        <v>0</v>
      </c>
      <c r="J321" s="86">
        <f>Просчет!J316</f>
        <v>0</v>
      </c>
    </row>
    <row r="322" spans="1:10" ht="15" hidden="1" customHeight="1" x14ac:dyDescent="0.25">
      <c r="A322" s="86">
        <f>Просчет!A317</f>
        <v>0</v>
      </c>
      <c r="B322" s="86" t="e">
        <f>Просчет!B317</f>
        <v>#N/A</v>
      </c>
      <c r="C322" s="86" t="e">
        <f>Просчет!C317</f>
        <v>#N/A</v>
      </c>
      <c r="D322" s="86">
        <f>Просчет!D317</f>
        <v>0</v>
      </c>
      <c r="E322" s="86">
        <f>Просчет!E317</f>
        <v>0</v>
      </c>
      <c r="F322" s="86" t="str">
        <f>Просчет!F317</f>
        <v>Teknos</v>
      </c>
      <c r="G322" s="86" t="str">
        <f>Просчет!G317</f>
        <v>Краска</v>
      </c>
      <c r="H322" s="86">
        <f>Просчет!H317</f>
        <v>0</v>
      </c>
      <c r="I322" s="86">
        <f>Просчет!I317</f>
        <v>0</v>
      </c>
      <c r="J322" s="86">
        <f>Просчет!J317</f>
        <v>0</v>
      </c>
    </row>
    <row r="323" spans="1:10" ht="15" hidden="1" customHeight="1" x14ac:dyDescent="0.25">
      <c r="A323" s="86">
        <f>Просчет!A318</f>
        <v>0</v>
      </c>
      <c r="B323" s="86" t="e">
        <f>Просчет!B318</f>
        <v>#N/A</v>
      </c>
      <c r="C323" s="86" t="e">
        <f>Просчет!C318</f>
        <v>#N/A</v>
      </c>
      <c r="D323" s="86">
        <f>Просчет!D318</f>
        <v>0</v>
      </c>
      <c r="E323" s="86">
        <f>Просчет!E318</f>
        <v>0</v>
      </c>
      <c r="F323" s="86" t="str">
        <f>Просчет!F318</f>
        <v>Teknos</v>
      </c>
      <c r="G323" s="86" t="str">
        <f>Просчет!G318</f>
        <v>Краска</v>
      </c>
      <c r="H323" s="86">
        <f>Просчет!H318</f>
        <v>0</v>
      </c>
      <c r="I323" s="86">
        <f>Просчет!I318</f>
        <v>0</v>
      </c>
      <c r="J323" s="86">
        <f>Просчет!J318</f>
        <v>0</v>
      </c>
    </row>
    <row r="324" spans="1:10" ht="15" hidden="1" customHeight="1" x14ac:dyDescent="0.25">
      <c r="A324" s="86">
        <f>Просчет!A319</f>
        <v>0</v>
      </c>
      <c r="B324" s="86" t="e">
        <f>Просчет!B319</f>
        <v>#N/A</v>
      </c>
      <c r="C324" s="86" t="e">
        <f>Просчет!C319</f>
        <v>#N/A</v>
      </c>
      <c r="D324" s="86">
        <f>Просчет!D319</f>
        <v>0</v>
      </c>
      <c r="E324" s="86">
        <f>Просчет!E319</f>
        <v>0</v>
      </c>
      <c r="F324" s="86" t="str">
        <f>Просчет!F319</f>
        <v>Teknos</v>
      </c>
      <c r="G324" s="86" t="str">
        <f>Просчет!G319</f>
        <v>Краска</v>
      </c>
      <c r="H324" s="86">
        <f>Просчет!H319</f>
        <v>0</v>
      </c>
      <c r="I324" s="86">
        <f>Просчет!I319</f>
        <v>0</v>
      </c>
      <c r="J324" s="86">
        <f>Просчет!J319</f>
        <v>0</v>
      </c>
    </row>
    <row r="325" spans="1:10" ht="15" hidden="1" customHeight="1" x14ac:dyDescent="0.25">
      <c r="A325" s="86">
        <f>Просчет!A320</f>
        <v>0</v>
      </c>
      <c r="B325" s="86" t="e">
        <f>Просчет!B320</f>
        <v>#N/A</v>
      </c>
      <c r="C325" s="86" t="e">
        <f>Просчет!C320</f>
        <v>#N/A</v>
      </c>
      <c r="D325" s="86">
        <f>Просчет!D320</f>
        <v>0</v>
      </c>
      <c r="E325" s="86">
        <f>Просчет!E320</f>
        <v>0</v>
      </c>
      <c r="F325" s="86" t="str">
        <f>Просчет!F320</f>
        <v>Teknos</v>
      </c>
      <c r="G325" s="86" t="str">
        <f>Просчет!G320</f>
        <v>Краска</v>
      </c>
      <c r="H325" s="86">
        <f>Просчет!H320</f>
        <v>0</v>
      </c>
      <c r="I325" s="86">
        <f>Просчет!I320</f>
        <v>0</v>
      </c>
      <c r="J325" s="86">
        <f>Просчет!J320</f>
        <v>0</v>
      </c>
    </row>
    <row r="326" spans="1:10" ht="15" hidden="1" customHeight="1" x14ac:dyDescent="0.25">
      <c r="A326" s="86">
        <f>Просчет!A321</f>
        <v>0</v>
      </c>
      <c r="B326" s="86" t="e">
        <f>Просчет!B321</f>
        <v>#N/A</v>
      </c>
      <c r="C326" s="86" t="e">
        <f>Просчет!C321</f>
        <v>#N/A</v>
      </c>
      <c r="D326" s="86">
        <f>Просчет!D321</f>
        <v>0</v>
      </c>
      <c r="E326" s="86">
        <f>Просчет!E321</f>
        <v>0</v>
      </c>
      <c r="F326" s="86" t="str">
        <f>Просчет!F321</f>
        <v>Teknos</v>
      </c>
      <c r="G326" s="86" t="str">
        <f>Просчет!G321</f>
        <v>Краска</v>
      </c>
      <c r="H326" s="86">
        <f>Просчет!H321</f>
        <v>0</v>
      </c>
      <c r="I326" s="86">
        <f>Просчет!I321</f>
        <v>0</v>
      </c>
      <c r="J326" s="86">
        <f>Просчет!J321</f>
        <v>0</v>
      </c>
    </row>
    <row r="327" spans="1:10" ht="15" hidden="1" customHeight="1" x14ac:dyDescent="0.25">
      <c r="A327" s="86">
        <f>Просчет!A322</f>
        <v>0</v>
      </c>
      <c r="B327" s="86" t="e">
        <f>Просчет!B322</f>
        <v>#N/A</v>
      </c>
      <c r="C327" s="86" t="e">
        <f>Просчет!C322</f>
        <v>#N/A</v>
      </c>
      <c r="D327" s="86">
        <f>Просчет!D322</f>
        <v>0</v>
      </c>
      <c r="E327" s="86">
        <f>Просчет!E322</f>
        <v>0</v>
      </c>
      <c r="F327" s="86" t="str">
        <f>Просчет!F322</f>
        <v>Teknos</v>
      </c>
      <c r="G327" s="86" t="str">
        <f>Просчет!G322</f>
        <v>Краска</v>
      </c>
      <c r="H327" s="86">
        <f>Просчет!H322</f>
        <v>0</v>
      </c>
      <c r="I327" s="86">
        <f>Просчет!I322</f>
        <v>0</v>
      </c>
      <c r="J327" s="86">
        <f>Просчет!J322</f>
        <v>0</v>
      </c>
    </row>
    <row r="328" spans="1:10" ht="15" hidden="1" customHeight="1" x14ac:dyDescent="0.25">
      <c r="A328" s="86">
        <f>Просчет!A323</f>
        <v>0</v>
      </c>
      <c r="B328" s="86" t="e">
        <f>Просчет!B323</f>
        <v>#N/A</v>
      </c>
      <c r="C328" s="86" t="e">
        <f>Просчет!C323</f>
        <v>#N/A</v>
      </c>
      <c r="D328" s="86">
        <f>Просчет!D323</f>
        <v>0</v>
      </c>
      <c r="E328" s="86">
        <f>Просчет!E323</f>
        <v>0</v>
      </c>
      <c r="F328" s="86" t="str">
        <f>Просчет!F323</f>
        <v>Teknos</v>
      </c>
      <c r="G328" s="86" t="str">
        <f>Просчет!G323</f>
        <v>Краска</v>
      </c>
      <c r="H328" s="86">
        <f>Просчет!H323</f>
        <v>0</v>
      </c>
      <c r="I328" s="86">
        <f>Просчет!I323</f>
        <v>0</v>
      </c>
      <c r="J328" s="86">
        <f>Просчет!J323</f>
        <v>0</v>
      </c>
    </row>
    <row r="329" spans="1:10" ht="15" hidden="1" customHeight="1" x14ac:dyDescent="0.25">
      <c r="A329" s="86">
        <f>Просчет!A324</f>
        <v>0</v>
      </c>
      <c r="B329" s="86" t="e">
        <f>Просчет!B324</f>
        <v>#N/A</v>
      </c>
      <c r="C329" s="86" t="e">
        <f>Просчет!C324</f>
        <v>#N/A</v>
      </c>
      <c r="D329" s="86">
        <f>Просчет!D324</f>
        <v>0</v>
      </c>
      <c r="E329" s="86">
        <f>Просчет!E324</f>
        <v>0</v>
      </c>
      <c r="F329" s="86" t="str">
        <f>Просчет!F324</f>
        <v>Teknos</v>
      </c>
      <c r="G329" s="86" t="str">
        <f>Просчет!G324</f>
        <v>Краска</v>
      </c>
      <c r="H329" s="86">
        <f>Просчет!H324</f>
        <v>0</v>
      </c>
      <c r="I329" s="86">
        <f>Просчет!I324</f>
        <v>0</v>
      </c>
      <c r="J329" s="86">
        <f>Просчет!J324</f>
        <v>0</v>
      </c>
    </row>
    <row r="330" spans="1:10" ht="15" hidden="1" customHeight="1" x14ac:dyDescent="0.3">
      <c r="A330" s="70" t="str">
        <f>Просчет!A325</f>
        <v>Итого материалы:</v>
      </c>
      <c r="B330" s="70">
        <f>Просчет!B325</f>
        <v>0</v>
      </c>
      <c r="C330" s="70">
        <f>Просчет!C325</f>
        <v>0</v>
      </c>
      <c r="D330" s="9"/>
      <c r="E330" s="9"/>
      <c r="F330" s="9"/>
      <c r="G330" s="9"/>
    </row>
    <row r="334" spans="1:10" x14ac:dyDescent="0.25">
      <c r="A334" s="81" t="s">
        <v>476</v>
      </c>
      <c r="B334" s="565" t="s">
        <v>477</v>
      </c>
      <c r="C334" s="565"/>
      <c r="D334" s="565"/>
      <c r="E334" s="565"/>
      <c r="F334" s="565"/>
      <c r="G334" s="565"/>
    </row>
    <row r="335" spans="1:10" x14ac:dyDescent="0.25">
      <c r="A335" s="78"/>
      <c r="B335" s="43"/>
      <c r="C335" s="82"/>
      <c r="D335" s="82"/>
      <c r="E335" s="82"/>
      <c r="F335" s="82"/>
      <c r="G335" s="83"/>
    </row>
    <row r="336" spans="1:10" x14ac:dyDescent="0.25">
      <c r="A336" s="84" t="s">
        <v>468</v>
      </c>
      <c r="B336" s="566" t="s">
        <v>469</v>
      </c>
      <c r="C336" s="566"/>
      <c r="D336" s="566"/>
      <c r="E336" s="566"/>
      <c r="F336" s="566"/>
      <c r="G336" s="567"/>
    </row>
    <row r="337" spans="1:7" x14ac:dyDescent="0.25">
      <c r="A337" s="79"/>
      <c r="B337" s="43"/>
      <c r="C337" s="82"/>
      <c r="D337" s="82"/>
      <c r="E337" s="82"/>
      <c r="F337" s="82"/>
      <c r="G337" s="83"/>
    </row>
    <row r="338" spans="1:7" x14ac:dyDescent="0.25">
      <c r="A338" s="79"/>
      <c r="B338" s="568" t="s">
        <v>478</v>
      </c>
      <c r="C338" s="568"/>
      <c r="D338" s="568"/>
      <c r="E338" s="568"/>
      <c r="F338" s="568"/>
      <c r="G338" s="569"/>
    </row>
    <row r="339" spans="1:7" x14ac:dyDescent="0.25">
      <c r="A339" s="79"/>
      <c r="B339" s="43"/>
      <c r="C339" s="82"/>
      <c r="D339" s="82"/>
      <c r="E339" s="82"/>
      <c r="F339" s="82"/>
      <c r="G339" s="83"/>
    </row>
    <row r="340" spans="1:7" x14ac:dyDescent="0.25">
      <c r="A340" s="80"/>
      <c r="B340" s="551" t="s">
        <v>469</v>
      </c>
      <c r="C340" s="551"/>
      <c r="D340" s="551"/>
      <c r="E340" s="551"/>
      <c r="F340" s="551"/>
      <c r="G340" s="552"/>
    </row>
  </sheetData>
  <autoFilter ref="A11:C330" xr:uid="{00000000-0009-0000-0000-000002000000}">
    <filterColumn colId="1">
      <filters>
        <filter val="-"/>
        <filter val="#Н/Д"/>
        <filter val="0,5"/>
        <filter val="1"/>
        <filter val="12"/>
        <filter val="120"/>
        <filter val="141"/>
        <filter val="160"/>
        <filter val="164"/>
        <filter val="18"/>
        <filter val="198"/>
        <filter val="2"/>
        <filter val="24"/>
        <filter val="25"/>
        <filter val="27"/>
        <filter val="29,7"/>
        <filter val="3"/>
        <filter val="33"/>
        <filter val="334,32"/>
        <filter val="36"/>
        <filter val="4"/>
        <filter val="45"/>
        <filter val="46"/>
        <filter val="5"/>
        <filter val="50"/>
        <filter val="6"/>
        <filter val="67"/>
        <filter val="7"/>
        <filter val="8"/>
        <filter val="90"/>
        <filter val="95"/>
        <filter val="99"/>
        <filter val="Кол-во"/>
      </filters>
    </filterColumn>
  </autoFilter>
  <mergeCells count="10">
    <mergeCell ref="B340:G340"/>
    <mergeCell ref="B3:G3"/>
    <mergeCell ref="B4:G4"/>
    <mergeCell ref="B5:G5"/>
    <mergeCell ref="B6:G6"/>
    <mergeCell ref="B7:G7"/>
    <mergeCell ref="B8:G8"/>
    <mergeCell ref="B334:G334"/>
    <mergeCell ref="B336:G336"/>
    <mergeCell ref="B338:G338"/>
  </mergeCells>
  <pageMargins left="0.25" right="0.25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6"/>
  <sheetViews>
    <sheetView topLeftCell="A19" zoomScaleNormal="100" workbookViewId="0">
      <selection activeCell="M11" sqref="M11:O11"/>
    </sheetView>
  </sheetViews>
  <sheetFormatPr defaultColWidth="8.85546875" defaultRowHeight="15" x14ac:dyDescent="0.25"/>
  <cols>
    <col min="1" max="1" width="24.7109375" style="406" customWidth="1"/>
    <col min="2" max="2" width="20.7109375" style="190" customWidth="1"/>
    <col min="3" max="3" width="8" style="190" customWidth="1"/>
    <col min="4" max="4" width="10" style="408" customWidth="1"/>
    <col min="5" max="5" width="14.140625" style="408" customWidth="1"/>
    <col min="6" max="6" width="13.7109375" style="408" customWidth="1"/>
    <col min="7" max="7" width="30.5703125" style="301" customWidth="1"/>
    <col min="8" max="8" width="8.85546875" style="4"/>
    <col min="9" max="9" width="24.7109375" customWidth="1"/>
    <col min="10" max="10" width="20.7109375" customWidth="1"/>
    <col min="11" max="11" width="8" style="4" customWidth="1"/>
    <col min="12" max="12" width="10" style="4" customWidth="1"/>
    <col min="13" max="13" width="14.140625" style="4" customWidth="1"/>
    <col min="14" max="14" width="13.7109375" style="4" customWidth="1"/>
    <col min="15" max="15" width="30.5703125" style="4" customWidth="1"/>
    <col min="16" max="16" width="8.85546875" style="4"/>
    <col min="17" max="17" width="60" style="65" bestFit="1" customWidth="1"/>
    <col min="18" max="18" width="17.42578125" hidden="1" customWidth="1"/>
    <col min="19" max="16384" width="8.85546875" style="4"/>
  </cols>
  <sheetData>
    <row r="1" spans="1:18" x14ac:dyDescent="0.25">
      <c r="A1" s="572" t="s">
        <v>985</v>
      </c>
      <c r="B1" s="573"/>
      <c r="C1" s="573"/>
      <c r="D1" s="573"/>
      <c r="E1" s="573"/>
      <c r="F1" s="573"/>
      <c r="G1" s="574"/>
      <c r="I1" s="572" t="s">
        <v>986</v>
      </c>
      <c r="J1" s="573"/>
      <c r="K1" s="573"/>
      <c r="L1" s="573"/>
      <c r="M1" s="574"/>
      <c r="N1" s="455" t="s">
        <v>987</v>
      </c>
      <c r="O1" s="456">
        <v>15</v>
      </c>
      <c r="Q1" s="405"/>
      <c r="R1" s="4"/>
    </row>
    <row r="2" spans="1:18" ht="73.900000000000006" customHeight="1" x14ac:dyDescent="0.25">
      <c r="A2" s="600"/>
      <c r="B2" s="425"/>
      <c r="C2" s="425"/>
      <c r="D2" s="425"/>
      <c r="E2" s="425"/>
      <c r="F2" s="425"/>
      <c r="G2" s="426"/>
      <c r="I2" s="600"/>
      <c r="J2" s="425"/>
      <c r="K2" s="425"/>
      <c r="L2" s="425"/>
      <c r="M2" s="425"/>
      <c r="N2" s="425"/>
      <c r="O2" s="426"/>
      <c r="Q2" s="405"/>
    </row>
    <row r="3" spans="1:18" x14ac:dyDescent="0.25">
      <c r="A3" s="601"/>
      <c r="B3" s="12"/>
      <c r="C3" s="12"/>
      <c r="D3" s="12"/>
      <c r="F3" s="602" t="s">
        <v>975</v>
      </c>
      <c r="G3" s="603"/>
      <c r="I3" s="601"/>
      <c r="J3" s="450"/>
      <c r="K3" s="450"/>
      <c r="L3" s="450"/>
      <c r="M3" s="408"/>
      <c r="N3" s="602" t="s">
        <v>975</v>
      </c>
      <c r="O3" s="603"/>
      <c r="Q3" s="405"/>
    </row>
    <row r="4" spans="1:18" x14ac:dyDescent="0.25">
      <c r="A4" s="601"/>
      <c r="B4" s="12"/>
      <c r="C4" s="12"/>
      <c r="D4" s="12"/>
      <c r="F4" s="594" t="str">
        <f>_xlfn.TEXTJOIN(,,"к Договору ",Просчет!E1)</f>
        <v>к Договору №</v>
      </c>
      <c r="G4" s="595"/>
      <c r="I4" s="601"/>
      <c r="J4" s="450"/>
      <c r="K4" s="450"/>
      <c r="L4" s="450"/>
      <c r="M4" s="408"/>
      <c r="N4" s="594" t="str">
        <f>F4</f>
        <v>к Договору №</v>
      </c>
      <c r="O4" s="595"/>
      <c r="Q4" s="405"/>
    </row>
    <row r="5" spans="1:18" s="65" customFormat="1" x14ac:dyDescent="0.25">
      <c r="A5" s="601"/>
      <c r="B5" s="12"/>
      <c r="C5" s="12"/>
      <c r="D5" s="12"/>
      <c r="E5" s="16"/>
      <c r="F5" s="607" t="s">
        <v>948</v>
      </c>
      <c r="G5" s="608"/>
      <c r="I5" s="601"/>
      <c r="J5" s="450"/>
      <c r="K5" s="450"/>
      <c r="L5" s="450"/>
      <c r="M5" s="449"/>
      <c r="N5" s="598" t="str">
        <f>F5</f>
        <v>от "_____"______________20____г.</v>
      </c>
      <c r="O5" s="599"/>
      <c r="Q5" s="405"/>
      <c r="R5" s="405" t="s">
        <v>976</v>
      </c>
    </row>
    <row r="6" spans="1:18" ht="16.149999999999999" customHeight="1" x14ac:dyDescent="0.25">
      <c r="A6" s="601"/>
      <c r="B6" s="12"/>
      <c r="C6" s="12"/>
      <c r="D6" s="12"/>
      <c r="E6" s="12"/>
      <c r="F6" s="12"/>
      <c r="G6" s="427"/>
      <c r="I6" s="601"/>
      <c r="J6" s="450"/>
      <c r="K6" s="450"/>
      <c r="L6" s="450"/>
      <c r="M6" s="450"/>
      <c r="N6" s="450"/>
      <c r="O6" s="451"/>
      <c r="Q6" s="405"/>
      <c r="R6" s="405" t="s">
        <v>977</v>
      </c>
    </row>
    <row r="7" spans="1:18" ht="18.75" x14ac:dyDescent="0.3">
      <c r="A7" s="604" t="s">
        <v>933</v>
      </c>
      <c r="B7" s="605"/>
      <c r="C7" s="605"/>
      <c r="D7" s="605"/>
      <c r="E7" s="605"/>
      <c r="F7" s="605"/>
      <c r="G7" s="606"/>
      <c r="I7" s="604" t="s">
        <v>933</v>
      </c>
      <c r="J7" s="605"/>
      <c r="K7" s="605"/>
      <c r="L7" s="605"/>
      <c r="M7" s="605"/>
      <c r="N7" s="605"/>
      <c r="O7" s="606"/>
      <c r="Q7" s="405"/>
      <c r="R7" s="405" t="s">
        <v>978</v>
      </c>
    </row>
    <row r="8" spans="1:18" x14ac:dyDescent="0.25">
      <c r="A8" s="593"/>
      <c r="B8" s="594"/>
      <c r="C8" s="594"/>
      <c r="D8" s="594"/>
      <c r="E8" s="594"/>
      <c r="F8" s="594"/>
      <c r="G8" s="595"/>
      <c r="I8" s="593"/>
      <c r="J8" s="594"/>
      <c r="K8" s="594"/>
      <c r="L8" s="594"/>
      <c r="M8" s="594"/>
      <c r="N8" s="594"/>
      <c r="O8" s="595"/>
      <c r="Q8" s="405"/>
      <c r="R8" s="405" t="s">
        <v>979</v>
      </c>
    </row>
    <row r="9" spans="1:18" s="65" customFormat="1" x14ac:dyDescent="0.25">
      <c r="A9" s="570" t="s">
        <v>934</v>
      </c>
      <c r="B9" s="571"/>
      <c r="C9" s="571"/>
      <c r="D9" s="571"/>
      <c r="E9" s="607" t="s">
        <v>935</v>
      </c>
      <c r="F9" s="607"/>
      <c r="G9" s="608"/>
      <c r="I9" s="570" t="s">
        <v>934</v>
      </c>
      <c r="J9" s="571"/>
      <c r="K9" s="571"/>
      <c r="L9" s="571"/>
      <c r="M9" s="596" t="str">
        <f>E9</f>
        <v>11.12.2020</v>
      </c>
      <c r="N9" s="596"/>
      <c r="O9" s="597"/>
      <c r="Q9" s="405"/>
      <c r="R9" s="405" t="s">
        <v>980</v>
      </c>
    </row>
    <row r="10" spans="1:18" x14ac:dyDescent="0.25">
      <c r="A10" s="570" t="s">
        <v>936</v>
      </c>
      <c r="B10" s="571"/>
      <c r="C10" s="571"/>
      <c r="D10" s="571"/>
      <c r="E10" s="598" t="s">
        <v>976</v>
      </c>
      <c r="F10" s="598"/>
      <c r="G10" s="599"/>
      <c r="I10" s="570" t="s">
        <v>936</v>
      </c>
      <c r="J10" s="571"/>
      <c r="K10" s="571"/>
      <c r="L10" s="571"/>
      <c r="M10" s="598" t="str">
        <f>E10</f>
        <v>Жилой дом</v>
      </c>
      <c r="N10" s="598"/>
      <c r="O10" s="599"/>
      <c r="Q10" s="405"/>
      <c r="R10" s="405" t="s">
        <v>981</v>
      </c>
    </row>
    <row r="11" spans="1:18" x14ac:dyDescent="0.25">
      <c r="A11" s="570" t="s">
        <v>956</v>
      </c>
      <c r="B11" s="571"/>
      <c r="C11" s="571"/>
      <c r="D11" s="571"/>
      <c r="E11" s="571" t="str">
        <f>_xlfn.TEXTJOIN(,,G37," руб.")</f>
        <v>609099,426864 руб.</v>
      </c>
      <c r="F11" s="571"/>
      <c r="G11" s="609"/>
      <c r="I11" s="570" t="s">
        <v>956</v>
      </c>
      <c r="J11" s="571"/>
      <c r="K11" s="571"/>
      <c r="L11" s="571"/>
      <c r="M11" s="587" t="str">
        <f>_xlfn.TEXTJOIN(,,O37," руб.")</f>
        <v>517734,5128344 руб.</v>
      </c>
      <c r="N11" s="587"/>
      <c r="O11" s="588"/>
      <c r="Q11" s="405"/>
    </row>
    <row r="12" spans="1:18" ht="14.45" x14ac:dyDescent="0.3">
      <c r="A12" s="428"/>
      <c r="B12" s="12"/>
      <c r="C12" s="12"/>
      <c r="D12" s="12"/>
      <c r="E12" s="12"/>
      <c r="F12" s="12"/>
      <c r="G12" s="427"/>
      <c r="I12" s="452"/>
      <c r="J12" s="450"/>
      <c r="K12" s="450"/>
      <c r="L12" s="450"/>
      <c r="M12" s="450"/>
      <c r="N12" s="450"/>
      <c r="O12" s="451"/>
      <c r="Q12" s="405"/>
    </row>
    <row r="13" spans="1:18" ht="14.45" x14ac:dyDescent="0.3">
      <c r="A13" s="428"/>
      <c r="B13" s="12"/>
      <c r="C13" s="12"/>
      <c r="D13" s="12"/>
      <c r="E13" s="12"/>
      <c r="F13" s="12"/>
      <c r="G13" s="427"/>
      <c r="I13" s="452"/>
      <c r="J13" s="450"/>
      <c r="K13" s="450"/>
      <c r="L13" s="450"/>
      <c r="M13" s="450"/>
      <c r="N13" s="450"/>
      <c r="O13" s="451"/>
      <c r="Q13" s="405"/>
    </row>
    <row r="14" spans="1:18" x14ac:dyDescent="0.25">
      <c r="A14" s="589" t="s">
        <v>939</v>
      </c>
      <c r="B14" s="589"/>
      <c r="C14" s="589" t="s">
        <v>407</v>
      </c>
      <c r="D14" s="589" t="s">
        <v>940</v>
      </c>
      <c r="E14" s="590" t="s">
        <v>937</v>
      </c>
      <c r="F14" s="591"/>
      <c r="G14" s="592" t="s">
        <v>938</v>
      </c>
      <c r="I14" s="589" t="s">
        <v>939</v>
      </c>
      <c r="J14" s="589"/>
      <c r="K14" s="589" t="s">
        <v>407</v>
      </c>
      <c r="L14" s="589" t="s">
        <v>940</v>
      </c>
      <c r="M14" s="590" t="s">
        <v>937</v>
      </c>
      <c r="N14" s="591"/>
      <c r="O14" s="592" t="s">
        <v>938</v>
      </c>
      <c r="Q14" s="424" t="s">
        <v>961</v>
      </c>
      <c r="R14" s="454" t="s">
        <v>989</v>
      </c>
    </row>
    <row r="15" spans="1:18" x14ac:dyDescent="0.25">
      <c r="A15" s="589"/>
      <c r="B15" s="589"/>
      <c r="C15" s="589"/>
      <c r="D15" s="589"/>
      <c r="E15" s="419" t="s">
        <v>942</v>
      </c>
      <c r="F15" s="415" t="s">
        <v>941</v>
      </c>
      <c r="G15" s="592"/>
      <c r="I15" s="589"/>
      <c r="J15" s="589"/>
      <c r="K15" s="589"/>
      <c r="L15" s="589"/>
      <c r="M15" s="447" t="s">
        <v>942</v>
      </c>
      <c r="N15" s="448" t="s">
        <v>941</v>
      </c>
      <c r="O15" s="592"/>
      <c r="Q15" s="424" t="s">
        <v>962</v>
      </c>
      <c r="R15" s="458">
        <v>10</v>
      </c>
    </row>
    <row r="16" spans="1:18" ht="15.75" x14ac:dyDescent="0.25">
      <c r="A16" s="582" t="s">
        <v>943</v>
      </c>
      <c r="B16" s="583"/>
      <c r="C16" s="423"/>
      <c r="D16" s="418"/>
      <c r="E16" s="420"/>
      <c r="F16" s="420"/>
      <c r="G16" s="429"/>
      <c r="I16" s="582" t="s">
        <v>943</v>
      </c>
      <c r="J16" s="583"/>
      <c r="K16" s="423"/>
      <c r="L16" s="418"/>
      <c r="M16" s="420"/>
      <c r="N16" s="420"/>
      <c r="O16" s="429"/>
      <c r="Q16" s="405"/>
      <c r="R16" s="458">
        <v>11</v>
      </c>
    </row>
    <row r="17" spans="1:18" x14ac:dyDescent="0.25">
      <c r="A17" s="584" t="s">
        <v>984</v>
      </c>
      <c r="B17" s="585"/>
      <c r="C17" s="420">
        <f>IF(E17&gt;0,1,0)</f>
        <v>0</v>
      </c>
      <c r="D17" s="416" t="s">
        <v>944</v>
      </c>
      <c r="E17" s="421">
        <v>0</v>
      </c>
      <c r="F17" s="421">
        <f>E17/1.25*0.55</f>
        <v>0</v>
      </c>
      <c r="G17" s="429">
        <f>E17+F17</f>
        <v>0</v>
      </c>
      <c r="I17" s="584" t="s">
        <v>984</v>
      </c>
      <c r="J17" s="585"/>
      <c r="K17" s="420">
        <f>C17</f>
        <v>0</v>
      </c>
      <c r="L17" s="416" t="str">
        <f>D17</f>
        <v>комплект</v>
      </c>
      <c r="M17" s="420">
        <f>E17*((100-O1)*0.01)</f>
        <v>0</v>
      </c>
      <c r="N17" s="420">
        <f>F17*((100-O1)*0.01)</f>
        <v>0</v>
      </c>
      <c r="O17" s="420">
        <f>M17+N17</f>
        <v>0</v>
      </c>
      <c r="Q17" s="405" t="s">
        <v>959</v>
      </c>
      <c r="R17" s="458">
        <v>12</v>
      </c>
    </row>
    <row r="18" spans="1:18" ht="15.75" x14ac:dyDescent="0.25">
      <c r="A18" s="586" t="s">
        <v>958</v>
      </c>
      <c r="B18" s="578"/>
      <c r="C18" s="420"/>
      <c r="D18" s="417"/>
      <c r="E18" s="422"/>
      <c r="F18" s="422"/>
      <c r="G18" s="429"/>
      <c r="I18" s="586" t="s">
        <v>958</v>
      </c>
      <c r="J18" s="578"/>
      <c r="K18" s="420"/>
      <c r="L18" s="416"/>
      <c r="M18" s="420"/>
      <c r="N18" s="420"/>
      <c r="O18" s="420"/>
      <c r="Q18" s="405"/>
      <c r="R18" s="458">
        <v>13</v>
      </c>
    </row>
    <row r="19" spans="1:18" x14ac:dyDescent="0.25">
      <c r="A19" s="575" t="s">
        <v>966</v>
      </c>
      <c r="B19" s="576"/>
      <c r="C19" s="420">
        <f t="shared" ref="C19:C33" si="0">IF(E19&gt;0,1,0)</f>
        <v>1</v>
      </c>
      <c r="D19" s="417" t="s">
        <v>944</v>
      </c>
      <c r="E19" s="422">
        <f>SUM(Просчет!G32:G54)+SUM(Просчет!G56:G71)+SUM(Просчет!G73:G88)+SUM(Просчет!G90:G99)+SUM(Просчет!G101:G106)+SUM(Просчет!G108:G116)+Просчет!G12</f>
        <v>62578.625599999999</v>
      </c>
      <c r="F19" s="422">
        <f t="shared" ref="F19:F31" si="1">E19/1.25*0.55</f>
        <v>27534.595264</v>
      </c>
      <c r="G19" s="429">
        <f t="shared" ref="G19:G35" si="2">E19+F19</f>
        <v>90113.220864000003</v>
      </c>
      <c r="I19" s="575" t="s">
        <v>966</v>
      </c>
      <c r="J19" s="576"/>
      <c r="K19" s="420">
        <f t="shared" ref="K19:K35" si="3">C19</f>
        <v>1</v>
      </c>
      <c r="L19" s="416" t="str">
        <f t="shared" ref="L19:L35" si="4">D19</f>
        <v>комплект</v>
      </c>
      <c r="M19" s="420">
        <f>E19*((100-O1)*0.01)</f>
        <v>53191.831760000001</v>
      </c>
      <c r="N19" s="420">
        <f>F19*((100-O1)*0.01)</f>
        <v>23404.405974400001</v>
      </c>
      <c r="O19" s="420">
        <f t="shared" ref="O19:O35" si="5">M19+N19</f>
        <v>76596.237734399998</v>
      </c>
      <c r="Q19" s="405"/>
      <c r="R19" s="458">
        <v>14</v>
      </c>
    </row>
    <row r="20" spans="1:18" ht="15.75" x14ac:dyDescent="0.25">
      <c r="A20" s="577" t="s">
        <v>949</v>
      </c>
      <c r="B20" s="578"/>
      <c r="C20" s="420"/>
      <c r="D20" s="417"/>
      <c r="E20" s="422"/>
      <c r="F20" s="422"/>
      <c r="G20" s="430"/>
      <c r="I20" s="577" t="s">
        <v>949</v>
      </c>
      <c r="J20" s="578"/>
      <c r="K20" s="420"/>
      <c r="L20" s="416"/>
      <c r="M20" s="420"/>
      <c r="N20" s="420"/>
      <c r="O20" s="420"/>
      <c r="Q20" s="405"/>
      <c r="R20" s="458">
        <v>15</v>
      </c>
    </row>
    <row r="21" spans="1:18" s="65" customFormat="1" x14ac:dyDescent="0.25">
      <c r="A21" s="575" t="s">
        <v>967</v>
      </c>
      <c r="B21" s="576"/>
      <c r="C21" s="420">
        <f t="shared" si="0"/>
        <v>1</v>
      </c>
      <c r="D21" s="417" t="s">
        <v>944</v>
      </c>
      <c r="E21" s="422">
        <f>SUM(Просчет!G118:G149)+SUM(Просчет!G168:G174)+SUM(Просчет!G265:G289)+SUM(Просчет!G291:G299)</f>
        <v>119250</v>
      </c>
      <c r="F21" s="422">
        <f t="shared" si="1"/>
        <v>52470.000000000007</v>
      </c>
      <c r="G21" s="430">
        <f t="shared" si="2"/>
        <v>171720</v>
      </c>
      <c r="I21" s="575" t="s">
        <v>967</v>
      </c>
      <c r="J21" s="576"/>
      <c r="K21" s="420">
        <f t="shared" si="3"/>
        <v>1</v>
      </c>
      <c r="L21" s="416" t="str">
        <f t="shared" si="4"/>
        <v>комплект</v>
      </c>
      <c r="M21" s="420">
        <f>E21*((100-O1)*0.01)</f>
        <v>101362.5</v>
      </c>
      <c r="N21" s="420">
        <f>F21*((100-O1)*0.01)</f>
        <v>44599.500000000007</v>
      </c>
      <c r="O21" s="420">
        <f t="shared" si="5"/>
        <v>145962</v>
      </c>
      <c r="Q21" s="405" t="s">
        <v>963</v>
      </c>
    </row>
    <row r="22" spans="1:18" ht="15.75" x14ac:dyDescent="0.25">
      <c r="A22" s="577" t="s">
        <v>950</v>
      </c>
      <c r="B22" s="578"/>
      <c r="C22" s="420"/>
      <c r="D22" s="417"/>
      <c r="E22" s="422"/>
      <c r="F22" s="422"/>
      <c r="G22" s="430"/>
      <c r="I22" s="577" t="s">
        <v>950</v>
      </c>
      <c r="J22" s="578"/>
      <c r="K22" s="420"/>
      <c r="L22" s="416"/>
      <c r="M22" s="420"/>
      <c r="N22" s="420"/>
      <c r="O22" s="420"/>
      <c r="Q22" s="405"/>
    </row>
    <row r="23" spans="1:18" x14ac:dyDescent="0.25">
      <c r="A23" s="575" t="s">
        <v>968</v>
      </c>
      <c r="B23" s="576"/>
      <c r="C23" s="420">
        <f t="shared" si="0"/>
        <v>0</v>
      </c>
      <c r="D23" s="417" t="s">
        <v>944</v>
      </c>
      <c r="E23" s="422">
        <f>SUM(Просчет!G151:G166)</f>
        <v>0</v>
      </c>
      <c r="F23" s="422">
        <f t="shared" si="1"/>
        <v>0</v>
      </c>
      <c r="G23" s="430">
        <f t="shared" si="2"/>
        <v>0</v>
      </c>
      <c r="I23" s="575" t="s">
        <v>968</v>
      </c>
      <c r="J23" s="576"/>
      <c r="K23" s="420">
        <f t="shared" si="3"/>
        <v>0</v>
      </c>
      <c r="L23" s="416" t="str">
        <f t="shared" si="4"/>
        <v>комплект</v>
      </c>
      <c r="M23" s="420">
        <f>E23*((100-O1)*0.01)</f>
        <v>0</v>
      </c>
      <c r="N23" s="420">
        <f>F23*((100-O1)*0.01)</f>
        <v>0</v>
      </c>
      <c r="O23" s="420">
        <f t="shared" si="5"/>
        <v>0</v>
      </c>
      <c r="Q23" s="405" t="s">
        <v>960</v>
      </c>
    </row>
    <row r="24" spans="1:18" ht="15.75" x14ac:dyDescent="0.25">
      <c r="A24" s="577" t="s">
        <v>951</v>
      </c>
      <c r="B24" s="578"/>
      <c r="C24" s="420"/>
      <c r="D24" s="417"/>
      <c r="E24" s="422"/>
      <c r="F24" s="422"/>
      <c r="G24" s="430"/>
      <c r="I24" s="577" t="s">
        <v>951</v>
      </c>
      <c r="J24" s="578"/>
      <c r="K24" s="420"/>
      <c r="L24" s="416"/>
      <c r="M24" s="420"/>
      <c r="N24" s="420"/>
      <c r="O24" s="420"/>
      <c r="Q24" s="405"/>
    </row>
    <row r="25" spans="1:18" x14ac:dyDescent="0.25">
      <c r="A25" s="575" t="s">
        <v>969</v>
      </c>
      <c r="B25" s="576"/>
      <c r="C25" s="420">
        <f t="shared" si="0"/>
        <v>1</v>
      </c>
      <c r="D25" s="417" t="s">
        <v>944</v>
      </c>
      <c r="E25" s="422">
        <f>SUM(Просчет!G176:G225)*1.25+Просчет!G11+Просчет!G23</f>
        <v>39002.6875</v>
      </c>
      <c r="F25" s="422">
        <f t="shared" si="1"/>
        <v>17161.182500000003</v>
      </c>
      <c r="G25" s="430">
        <f t="shared" si="2"/>
        <v>56163.87</v>
      </c>
      <c r="I25" s="575" t="s">
        <v>969</v>
      </c>
      <c r="J25" s="576"/>
      <c r="K25" s="420">
        <f t="shared" si="3"/>
        <v>1</v>
      </c>
      <c r="L25" s="416" t="str">
        <f t="shared" si="4"/>
        <v>комплект</v>
      </c>
      <c r="M25" s="420">
        <f>E25*((100-O1)*0.01)</f>
        <v>33152.284374999996</v>
      </c>
      <c r="N25" s="420">
        <f>F25*((100-O1)*0.01)</f>
        <v>14587.005125000001</v>
      </c>
      <c r="O25" s="420">
        <f t="shared" si="5"/>
        <v>47739.289499999999</v>
      </c>
      <c r="Q25" s="405"/>
    </row>
    <row r="26" spans="1:18" ht="15.75" x14ac:dyDescent="0.25">
      <c r="A26" s="577" t="s">
        <v>952</v>
      </c>
      <c r="B26" s="578"/>
      <c r="C26" s="420"/>
      <c r="D26" s="417"/>
      <c r="E26" s="422"/>
      <c r="F26" s="422"/>
      <c r="G26" s="430"/>
      <c r="I26" s="577" t="s">
        <v>952</v>
      </c>
      <c r="J26" s="578"/>
      <c r="K26" s="420"/>
      <c r="L26" s="416"/>
      <c r="M26" s="420"/>
      <c r="N26" s="420"/>
      <c r="O26" s="420"/>
      <c r="Q26" s="405"/>
    </row>
    <row r="27" spans="1:18" x14ac:dyDescent="0.25">
      <c r="A27" s="575" t="s">
        <v>970</v>
      </c>
      <c r="B27" s="576"/>
      <c r="C27" s="420">
        <f t="shared" si="0"/>
        <v>1</v>
      </c>
      <c r="D27" s="417" t="s">
        <v>944</v>
      </c>
      <c r="E27" s="422">
        <f>SUM(Просчет!G227:G236)</f>
        <v>139432</v>
      </c>
      <c r="F27" s="422">
        <f t="shared" si="1"/>
        <v>61350.080000000009</v>
      </c>
      <c r="G27" s="430">
        <f t="shared" si="2"/>
        <v>200782.08000000002</v>
      </c>
      <c r="I27" s="575" t="s">
        <v>970</v>
      </c>
      <c r="J27" s="576"/>
      <c r="K27" s="420">
        <f t="shared" si="3"/>
        <v>1</v>
      </c>
      <c r="L27" s="416" t="str">
        <f t="shared" si="4"/>
        <v>комплект</v>
      </c>
      <c r="M27" s="420">
        <f>E27*((100-O1)*0.01)</f>
        <v>118517.2</v>
      </c>
      <c r="N27" s="420">
        <f>F27*((100-O1)*0.01)</f>
        <v>52147.568000000007</v>
      </c>
      <c r="O27" s="420">
        <f t="shared" si="5"/>
        <v>170664.76800000001</v>
      </c>
      <c r="Q27" s="405"/>
    </row>
    <row r="28" spans="1:18" ht="15.75" x14ac:dyDescent="0.25">
      <c r="A28" s="577" t="s">
        <v>953</v>
      </c>
      <c r="B28" s="578"/>
      <c r="C28" s="420"/>
      <c r="D28" s="417"/>
      <c r="E28" s="422"/>
      <c r="F28" s="422"/>
      <c r="G28" s="430"/>
      <c r="I28" s="577" t="s">
        <v>953</v>
      </c>
      <c r="J28" s="578"/>
      <c r="K28" s="420"/>
      <c r="L28" s="416"/>
      <c r="M28" s="420"/>
      <c r="N28" s="420"/>
      <c r="O28" s="420"/>
      <c r="Q28" s="405"/>
    </row>
    <row r="29" spans="1:18" x14ac:dyDescent="0.25">
      <c r="A29" s="575" t="s">
        <v>971</v>
      </c>
      <c r="B29" s="576"/>
      <c r="C29" s="420">
        <f t="shared" si="0"/>
        <v>1</v>
      </c>
      <c r="D29" s="417" t="s">
        <v>944</v>
      </c>
      <c r="E29" s="422">
        <f>SUM(Просчет!G238:G253)</f>
        <v>60209.9</v>
      </c>
      <c r="F29" s="422">
        <f t="shared" si="1"/>
        <v>26492.356</v>
      </c>
      <c r="G29" s="430">
        <f t="shared" si="2"/>
        <v>86702.255999999994</v>
      </c>
      <c r="I29" s="575" t="s">
        <v>971</v>
      </c>
      <c r="J29" s="576"/>
      <c r="K29" s="420">
        <f t="shared" si="3"/>
        <v>1</v>
      </c>
      <c r="L29" s="416" t="str">
        <f t="shared" si="4"/>
        <v>комплект</v>
      </c>
      <c r="M29" s="420">
        <f>E29*((100-O1)*0.01)</f>
        <v>51178.415000000001</v>
      </c>
      <c r="N29" s="420">
        <f>F29*((100-O1)*0.01)</f>
        <v>22518.5026</v>
      </c>
      <c r="O29" s="420">
        <f t="shared" si="5"/>
        <v>73696.917600000001</v>
      </c>
      <c r="Q29" s="405"/>
    </row>
    <row r="30" spans="1:18" s="65" customFormat="1" ht="15.75" x14ac:dyDescent="0.25">
      <c r="A30" s="577" t="s">
        <v>954</v>
      </c>
      <c r="B30" s="578"/>
      <c r="C30" s="420"/>
      <c r="D30" s="417"/>
      <c r="E30" s="422"/>
      <c r="F30" s="422"/>
      <c r="G30" s="430"/>
      <c r="I30" s="577" t="s">
        <v>954</v>
      </c>
      <c r="J30" s="578"/>
      <c r="K30" s="420"/>
      <c r="L30" s="416"/>
      <c r="M30" s="420"/>
      <c r="N30" s="420"/>
      <c r="O30" s="420"/>
      <c r="Q30" s="405"/>
    </row>
    <row r="31" spans="1:18" s="65" customFormat="1" x14ac:dyDescent="0.25">
      <c r="A31" s="575" t="s">
        <v>972</v>
      </c>
      <c r="B31" s="576"/>
      <c r="C31" s="420">
        <f t="shared" si="0"/>
        <v>1</v>
      </c>
      <c r="D31" s="417" t="s">
        <v>944</v>
      </c>
      <c r="E31" s="422">
        <f>SUM(Просчет!G255:G263)*1.25</f>
        <v>2512.5</v>
      </c>
      <c r="F31" s="422">
        <f t="shared" si="1"/>
        <v>1105.5</v>
      </c>
      <c r="G31" s="430">
        <f t="shared" si="2"/>
        <v>3618</v>
      </c>
      <c r="I31" s="575" t="s">
        <v>972</v>
      </c>
      <c r="J31" s="576"/>
      <c r="K31" s="420">
        <f t="shared" si="3"/>
        <v>1</v>
      </c>
      <c r="L31" s="416" t="str">
        <f t="shared" si="4"/>
        <v>комплект</v>
      </c>
      <c r="M31" s="420">
        <f>E31*((100-O1)*0.01)</f>
        <v>2135.625</v>
      </c>
      <c r="N31" s="420">
        <f>F31*((100-O1)*0.01)</f>
        <v>939.67499999999995</v>
      </c>
      <c r="O31" s="420">
        <f t="shared" si="5"/>
        <v>3075.3</v>
      </c>
      <c r="Q31" s="405"/>
    </row>
    <row r="32" spans="1:18" ht="13.15" customHeight="1" x14ac:dyDescent="0.25">
      <c r="A32" s="577" t="s">
        <v>955</v>
      </c>
      <c r="B32" s="578"/>
      <c r="C32" s="420"/>
      <c r="D32" s="417"/>
      <c r="E32" s="422"/>
      <c r="F32" s="422"/>
      <c r="G32" s="430"/>
      <c r="I32" s="577" t="s">
        <v>955</v>
      </c>
      <c r="J32" s="578"/>
      <c r="K32" s="420"/>
      <c r="L32" s="416"/>
      <c r="M32" s="420"/>
      <c r="N32" s="420"/>
      <c r="O32" s="420"/>
      <c r="Q32" s="405"/>
    </row>
    <row r="33" spans="1:17" ht="13.15" customHeight="1" x14ac:dyDescent="0.25">
      <c r="A33" s="579" t="s">
        <v>973</v>
      </c>
      <c r="B33" s="580"/>
      <c r="C33" s="420">
        <f t="shared" si="0"/>
        <v>0</v>
      </c>
      <c r="D33" s="417" t="s">
        <v>944</v>
      </c>
      <c r="E33" s="421">
        <v>0</v>
      </c>
      <c r="F33" s="421">
        <f>E33/1.25*0.55</f>
        <v>0</v>
      </c>
      <c r="G33" s="430">
        <f t="shared" si="2"/>
        <v>0</v>
      </c>
      <c r="I33" s="579" t="s">
        <v>973</v>
      </c>
      <c r="J33" s="580"/>
      <c r="K33" s="420">
        <f t="shared" si="3"/>
        <v>0</v>
      </c>
      <c r="L33" s="416" t="str">
        <f t="shared" si="4"/>
        <v>комплект</v>
      </c>
      <c r="M33" s="420">
        <f>E33*((100-O1)*0.01)</f>
        <v>0</v>
      </c>
      <c r="N33" s="420">
        <f>F33*((100-O1)*0.01)</f>
        <v>0</v>
      </c>
      <c r="O33" s="420">
        <f t="shared" si="5"/>
        <v>0</v>
      </c>
      <c r="Q33" s="405" t="s">
        <v>828</v>
      </c>
    </row>
    <row r="34" spans="1:17" ht="15.75" x14ac:dyDescent="0.25">
      <c r="A34" s="577" t="s">
        <v>945</v>
      </c>
      <c r="B34" s="578"/>
      <c r="C34" s="420"/>
      <c r="D34" s="417"/>
      <c r="E34" s="422"/>
      <c r="F34" s="422"/>
      <c r="G34" s="430"/>
      <c r="I34" s="577" t="s">
        <v>945</v>
      </c>
      <c r="J34" s="578"/>
      <c r="K34" s="420"/>
      <c r="L34" s="416"/>
      <c r="M34" s="420"/>
      <c r="N34" s="420"/>
      <c r="O34" s="420"/>
      <c r="Q34" s="409"/>
    </row>
    <row r="35" spans="1:17" x14ac:dyDescent="0.25">
      <c r="A35" s="579" t="s">
        <v>974</v>
      </c>
      <c r="B35" s="581"/>
      <c r="C35" s="420">
        <f>IF(F35&gt;0,1,0)</f>
        <v>0</v>
      </c>
      <c r="D35" s="417" t="s">
        <v>944</v>
      </c>
      <c r="E35" s="422">
        <v>0</v>
      </c>
      <c r="F35" s="421">
        <v>0</v>
      </c>
      <c r="G35" s="430">
        <f t="shared" si="2"/>
        <v>0</v>
      </c>
      <c r="I35" s="579" t="s">
        <v>974</v>
      </c>
      <c r="J35" s="581"/>
      <c r="K35" s="420">
        <f t="shared" si="3"/>
        <v>0</v>
      </c>
      <c r="L35" s="416" t="str">
        <f t="shared" si="4"/>
        <v>комплект</v>
      </c>
      <c r="M35" s="420">
        <f>E35*((100-O1)*0.01)</f>
        <v>0</v>
      </c>
      <c r="N35" s="420">
        <f>F35*((100-O1)*0.01)</f>
        <v>0</v>
      </c>
      <c r="O35" s="420">
        <f t="shared" si="5"/>
        <v>0</v>
      </c>
      <c r="Q35" s="436" t="s">
        <v>964</v>
      </c>
    </row>
    <row r="36" spans="1:17" x14ac:dyDescent="0.25">
      <c r="A36" s="428"/>
      <c r="B36" s="12"/>
      <c r="C36" s="12"/>
      <c r="D36" s="12"/>
      <c r="E36" s="12"/>
      <c r="F36" s="12"/>
      <c r="G36" s="427"/>
      <c r="I36" s="452"/>
      <c r="J36" s="450"/>
      <c r="K36" s="450"/>
      <c r="L36" s="450"/>
      <c r="M36" s="450"/>
      <c r="N36" s="450"/>
      <c r="O36" s="451"/>
      <c r="Q36" s="436" t="s">
        <v>965</v>
      </c>
    </row>
    <row r="37" spans="1:17" x14ac:dyDescent="0.25">
      <c r="A37" s="431" t="s">
        <v>946</v>
      </c>
      <c r="B37" s="432"/>
      <c r="C37" s="12"/>
      <c r="D37" s="12"/>
      <c r="E37" s="437"/>
      <c r="F37" s="12"/>
      <c r="G37" s="453">
        <f>SUM(G16:G35)</f>
        <v>609099.42686400004</v>
      </c>
      <c r="I37" s="431" t="s">
        <v>946</v>
      </c>
      <c r="J37" s="432"/>
      <c r="K37" s="450"/>
      <c r="L37" s="450"/>
      <c r="M37" s="437"/>
      <c r="N37" s="450"/>
      <c r="O37" s="453">
        <f>SUM(O16:O35)</f>
        <v>517734.51283439994</v>
      </c>
      <c r="P37" s="458" t="s">
        <v>988</v>
      </c>
      <c r="Q37" s="457">
        <f>G37*((100-O1)*0.01)</f>
        <v>517734.5128344</v>
      </c>
    </row>
    <row r="38" spans="1:17" x14ac:dyDescent="0.25">
      <c r="A38" s="428"/>
      <c r="B38" s="12"/>
      <c r="C38" s="12"/>
      <c r="D38" s="12"/>
      <c r="E38" s="437"/>
      <c r="F38" s="12"/>
      <c r="G38" s="427"/>
      <c r="H38" s="65"/>
      <c r="I38" s="452"/>
      <c r="J38" s="450"/>
      <c r="K38" s="450"/>
      <c r="L38" s="450"/>
      <c r="M38" s="437"/>
      <c r="N38" s="450"/>
      <c r="O38" s="451"/>
    </row>
    <row r="39" spans="1:17" x14ac:dyDescent="0.25">
      <c r="A39" s="428"/>
      <c r="B39" s="12"/>
      <c r="C39" s="12"/>
      <c r="D39" s="12"/>
      <c r="E39" s="437"/>
      <c r="F39" s="12"/>
      <c r="G39" s="427"/>
      <c r="H39" s="65"/>
      <c r="I39" s="452"/>
      <c r="J39" s="450"/>
      <c r="K39" s="450"/>
      <c r="L39" s="450"/>
      <c r="M39" s="437"/>
      <c r="N39" s="450"/>
      <c r="O39" s="451"/>
    </row>
    <row r="40" spans="1:17" x14ac:dyDescent="0.25">
      <c r="A40" s="428"/>
      <c r="B40" s="12"/>
      <c r="C40" s="12"/>
      <c r="D40" s="12"/>
      <c r="E40" s="12"/>
      <c r="F40" s="12"/>
      <c r="G40" s="427"/>
      <c r="H40" s="65"/>
      <c r="I40" s="452"/>
      <c r="J40" s="450"/>
      <c r="K40" s="450"/>
      <c r="L40" s="450"/>
      <c r="M40" s="450"/>
      <c r="N40" s="450"/>
      <c r="O40" s="451"/>
    </row>
    <row r="41" spans="1:17" x14ac:dyDescent="0.25">
      <c r="A41" s="570" t="s">
        <v>957</v>
      </c>
      <c r="B41" s="571"/>
      <c r="C41" s="571"/>
      <c r="D41" s="12"/>
      <c r="E41" s="12"/>
      <c r="F41" s="12"/>
      <c r="G41" s="427"/>
      <c r="H41" s="65"/>
      <c r="I41" s="570" t="s">
        <v>957</v>
      </c>
      <c r="J41" s="571"/>
      <c r="K41" s="571"/>
      <c r="L41" s="450"/>
      <c r="M41" s="450"/>
      <c r="N41" s="450"/>
      <c r="O41" s="451"/>
    </row>
    <row r="42" spans="1:17" x14ac:dyDescent="0.25">
      <c r="A42" s="428"/>
      <c r="B42" s="12"/>
      <c r="C42" s="12"/>
      <c r="D42" s="12"/>
      <c r="E42" s="12"/>
      <c r="F42" s="12"/>
      <c r="G42" s="427"/>
      <c r="H42" s="65"/>
      <c r="I42" s="452"/>
      <c r="J42" s="450"/>
      <c r="K42" s="450"/>
      <c r="L42" s="450"/>
      <c r="M42" s="450"/>
      <c r="N42" s="450"/>
      <c r="O42" s="451"/>
    </row>
    <row r="43" spans="1:17" x14ac:dyDescent="0.25">
      <c r="A43" s="570" t="s">
        <v>947</v>
      </c>
      <c r="B43" s="571"/>
      <c r="C43" s="571"/>
      <c r="D43" s="12"/>
      <c r="E43" s="12"/>
      <c r="F43" s="12"/>
      <c r="G43" s="427"/>
      <c r="H43" s="65"/>
      <c r="I43" s="570" t="s">
        <v>947</v>
      </c>
      <c r="J43" s="571"/>
      <c r="K43" s="571"/>
      <c r="L43" s="450"/>
      <c r="M43" s="450"/>
      <c r="N43" s="450"/>
      <c r="O43" s="451"/>
    </row>
    <row r="44" spans="1:17" x14ac:dyDescent="0.25">
      <c r="A44" s="433"/>
      <c r="B44" s="434"/>
      <c r="C44" s="434"/>
      <c r="D44" s="434"/>
      <c r="E44" s="434"/>
      <c r="F44" s="434"/>
      <c r="G44" s="435"/>
      <c r="H44" s="65"/>
      <c r="I44" s="433"/>
      <c r="J44" s="434"/>
      <c r="K44" s="434"/>
      <c r="L44" s="434"/>
      <c r="M44" s="434"/>
      <c r="N44" s="434"/>
      <c r="O44" s="435"/>
    </row>
    <row r="45" spans="1:17" x14ac:dyDescent="0.25">
      <c r="A45" s="4"/>
      <c r="B45" s="4"/>
      <c r="C45" s="4"/>
      <c r="D45" s="4"/>
      <c r="E45" s="4"/>
      <c r="F45" s="4"/>
      <c r="G45" s="4"/>
      <c r="H45" s="65"/>
    </row>
    <row r="46" spans="1:17" x14ac:dyDescent="0.25">
      <c r="D46" s="407"/>
      <c r="E46" s="190"/>
      <c r="H46" s="65"/>
    </row>
    <row r="47" spans="1:17" x14ac:dyDescent="0.25">
      <c r="D47" s="407"/>
      <c r="E47" s="190"/>
      <c r="H47" s="65"/>
    </row>
    <row r="48" spans="1:17" x14ac:dyDescent="0.25">
      <c r="D48" s="407"/>
      <c r="E48" s="190"/>
      <c r="H48" s="65"/>
    </row>
    <row r="49" spans="4:8" x14ac:dyDescent="0.25">
      <c r="D49" s="407"/>
      <c r="E49" s="190"/>
      <c r="H49" s="65"/>
    </row>
    <row r="50" spans="4:8" x14ac:dyDescent="0.25">
      <c r="D50" s="407"/>
      <c r="E50" s="190"/>
      <c r="H50" s="65"/>
    </row>
    <row r="51" spans="4:8" x14ac:dyDescent="0.25">
      <c r="D51" s="407"/>
      <c r="E51" s="190"/>
      <c r="H51" s="65"/>
    </row>
    <row r="52" spans="4:8" x14ac:dyDescent="0.25">
      <c r="D52" s="407"/>
      <c r="E52" s="190"/>
      <c r="H52" s="65"/>
    </row>
    <row r="53" spans="4:8" x14ac:dyDescent="0.25">
      <c r="D53" s="407"/>
      <c r="E53" s="190"/>
      <c r="H53" s="65"/>
    </row>
    <row r="54" spans="4:8" x14ac:dyDescent="0.25">
      <c r="D54" s="407"/>
      <c r="E54" s="190"/>
      <c r="F54" s="407"/>
      <c r="H54" s="65"/>
    </row>
    <row r="55" spans="4:8" x14ac:dyDescent="0.25">
      <c r="D55" s="407"/>
      <c r="E55" s="190"/>
      <c r="H55" s="65"/>
    </row>
    <row r="56" spans="4:8" x14ac:dyDescent="0.25">
      <c r="D56" s="407"/>
      <c r="E56" s="190"/>
      <c r="G56" s="183"/>
      <c r="H56" s="65"/>
    </row>
    <row r="57" spans="4:8" x14ac:dyDescent="0.25">
      <c r="D57" s="407"/>
      <c r="E57" s="190"/>
      <c r="H57" s="65"/>
    </row>
    <row r="58" spans="4:8" x14ac:dyDescent="0.25">
      <c r="D58" s="407"/>
      <c r="E58" s="190"/>
      <c r="H58" s="65"/>
    </row>
    <row r="59" spans="4:8" x14ac:dyDescent="0.25">
      <c r="D59" s="407"/>
      <c r="E59" s="190"/>
      <c r="H59" s="65"/>
    </row>
    <row r="60" spans="4:8" x14ac:dyDescent="0.25">
      <c r="D60" s="407"/>
      <c r="E60" s="190"/>
      <c r="H60" s="65"/>
    </row>
    <row r="61" spans="4:8" x14ac:dyDescent="0.25">
      <c r="D61" s="407"/>
      <c r="E61" s="190"/>
      <c r="H61" s="65"/>
    </row>
    <row r="62" spans="4:8" x14ac:dyDescent="0.25">
      <c r="D62" s="407"/>
      <c r="E62" s="190"/>
      <c r="H62" s="65"/>
    </row>
    <row r="63" spans="4:8" x14ac:dyDescent="0.25">
      <c r="D63" s="407"/>
      <c r="E63" s="190"/>
      <c r="F63" s="407"/>
      <c r="H63" s="65"/>
    </row>
    <row r="64" spans="4:8" x14ac:dyDescent="0.25">
      <c r="D64" s="407"/>
      <c r="E64" s="190"/>
      <c r="F64" s="407"/>
      <c r="H64" s="65"/>
    </row>
    <row r="65" spans="1:17" x14ac:dyDescent="0.25">
      <c r="D65" s="407"/>
      <c r="E65" s="190"/>
      <c r="F65" s="407"/>
      <c r="H65" s="65"/>
    </row>
    <row r="66" spans="1:17" x14ac:dyDescent="0.25">
      <c r="D66" s="407"/>
      <c r="E66" s="190"/>
      <c r="F66" s="407"/>
      <c r="H66" s="65"/>
    </row>
    <row r="67" spans="1:17" x14ac:dyDescent="0.25">
      <c r="C67" s="407"/>
      <c r="D67" s="407"/>
      <c r="E67" s="407"/>
      <c r="H67" s="65"/>
    </row>
    <row r="68" spans="1:17" x14ac:dyDescent="0.25">
      <c r="C68" s="407"/>
      <c r="D68" s="407"/>
      <c r="E68" s="407"/>
      <c r="H68" s="65"/>
    </row>
    <row r="69" spans="1:17" x14ac:dyDescent="0.25">
      <c r="D69" s="407"/>
      <c r="E69" s="190"/>
      <c r="F69" s="407"/>
      <c r="H69" s="65"/>
    </row>
    <row r="70" spans="1:17" x14ac:dyDescent="0.25">
      <c r="D70" s="407"/>
      <c r="E70" s="190"/>
      <c r="F70" s="407"/>
      <c r="H70" s="65"/>
    </row>
    <row r="71" spans="1:17" s="16" customFormat="1" x14ac:dyDescent="0.25">
      <c r="A71" s="406"/>
      <c r="B71" s="413"/>
      <c r="C71" s="413"/>
      <c r="D71" s="413"/>
      <c r="E71" s="413"/>
      <c r="F71" s="413"/>
      <c r="G71" s="301"/>
      <c r="Q71" s="449"/>
    </row>
    <row r="73" spans="1:17" s="65" customFormat="1" x14ac:dyDescent="0.25">
      <c r="A73" s="406"/>
      <c r="B73" s="413"/>
      <c r="C73" s="413"/>
      <c r="D73" s="413"/>
      <c r="E73" s="413"/>
      <c r="F73" s="413"/>
      <c r="G73" s="301"/>
    </row>
    <row r="74" spans="1:17" x14ac:dyDescent="0.25">
      <c r="D74" s="407"/>
      <c r="E74" s="407"/>
    </row>
    <row r="75" spans="1:17" x14ac:dyDescent="0.25">
      <c r="D75" s="407"/>
      <c r="E75" s="407"/>
    </row>
    <row r="76" spans="1:17" x14ac:dyDescent="0.25">
      <c r="D76" s="407"/>
      <c r="E76" s="407"/>
    </row>
    <row r="77" spans="1:17" x14ac:dyDescent="0.25">
      <c r="D77" s="407"/>
      <c r="E77" s="407"/>
    </row>
    <row r="78" spans="1:17" x14ac:dyDescent="0.25">
      <c r="D78" s="407"/>
      <c r="E78" s="407"/>
    </row>
    <row r="79" spans="1:17" x14ac:dyDescent="0.25">
      <c r="D79" s="407"/>
      <c r="E79" s="407"/>
    </row>
    <row r="80" spans="1:17" x14ac:dyDescent="0.25">
      <c r="D80" s="407"/>
      <c r="E80" s="407"/>
    </row>
    <row r="81" spans="1:7" x14ac:dyDescent="0.25">
      <c r="D81" s="407"/>
      <c r="E81" s="407"/>
    </row>
    <row r="82" spans="1:7" x14ac:dyDescent="0.25">
      <c r="D82" s="407"/>
      <c r="E82" s="407"/>
    </row>
    <row r="83" spans="1:7" x14ac:dyDescent="0.25">
      <c r="D83" s="407"/>
      <c r="E83" s="407"/>
    </row>
    <row r="84" spans="1:7" x14ac:dyDescent="0.25">
      <c r="D84" s="407"/>
      <c r="E84" s="407"/>
    </row>
    <row r="85" spans="1:7" x14ac:dyDescent="0.25">
      <c r="D85" s="407"/>
      <c r="E85" s="407"/>
    </row>
    <row r="86" spans="1:7" x14ac:dyDescent="0.25">
      <c r="D86" s="407"/>
      <c r="E86" s="407"/>
    </row>
    <row r="87" spans="1:7" x14ac:dyDescent="0.25">
      <c r="D87" s="407"/>
      <c r="E87" s="407"/>
    </row>
    <row r="88" spans="1:7" x14ac:dyDescent="0.25">
      <c r="D88" s="407"/>
      <c r="E88" s="407"/>
    </row>
    <row r="89" spans="1:7" x14ac:dyDescent="0.25">
      <c r="D89" s="407"/>
      <c r="E89" s="407"/>
    </row>
    <row r="90" spans="1:7" x14ac:dyDescent="0.25">
      <c r="D90" s="407"/>
      <c r="E90" s="407"/>
    </row>
    <row r="91" spans="1:7" s="65" customFormat="1" x14ac:dyDescent="0.25">
      <c r="A91" s="406"/>
      <c r="B91" s="413"/>
      <c r="C91" s="413"/>
      <c r="D91" s="413"/>
      <c r="E91" s="413"/>
      <c r="F91" s="413"/>
      <c r="G91" s="301"/>
    </row>
    <row r="92" spans="1:7" x14ac:dyDescent="0.25">
      <c r="D92" s="407"/>
      <c r="E92" s="407"/>
    </row>
    <row r="93" spans="1:7" s="65" customFormat="1" x14ac:dyDescent="0.25">
      <c r="A93" s="406"/>
      <c r="B93" s="413"/>
      <c r="C93" s="413"/>
      <c r="D93" s="413"/>
      <c r="E93" s="413"/>
      <c r="F93" s="413"/>
      <c r="G93" s="301"/>
    </row>
    <row r="95" spans="1:7" s="65" customFormat="1" x14ac:dyDescent="0.25">
      <c r="A95" s="406"/>
      <c r="B95" s="413"/>
      <c r="C95" s="413"/>
      <c r="D95" s="413"/>
      <c r="E95" s="413"/>
      <c r="F95" s="413"/>
      <c r="G95" s="301"/>
    </row>
    <row r="97" spans="1:7" s="65" customFormat="1" x14ac:dyDescent="0.25">
      <c r="A97" s="406"/>
      <c r="B97" s="413"/>
      <c r="C97" s="413"/>
      <c r="D97" s="413"/>
      <c r="E97" s="413"/>
      <c r="F97" s="413"/>
      <c r="G97" s="301"/>
    </row>
    <row r="98" spans="1:7" x14ac:dyDescent="0.25">
      <c r="D98" s="407"/>
      <c r="E98" s="407"/>
    </row>
    <row r="99" spans="1:7" x14ac:dyDescent="0.25">
      <c r="D99" s="407"/>
      <c r="E99" s="407"/>
    </row>
    <row r="100" spans="1:7" x14ac:dyDescent="0.25">
      <c r="D100" s="407"/>
      <c r="E100" s="407"/>
    </row>
    <row r="101" spans="1:7" x14ac:dyDescent="0.25">
      <c r="D101" s="407"/>
      <c r="E101" s="407"/>
    </row>
    <row r="102" spans="1:7" x14ac:dyDescent="0.25">
      <c r="D102" s="407"/>
      <c r="E102" s="407"/>
    </row>
    <row r="103" spans="1:7" x14ac:dyDescent="0.25">
      <c r="D103" s="407"/>
      <c r="E103" s="407"/>
    </row>
    <row r="104" spans="1:7" x14ac:dyDescent="0.25">
      <c r="D104" s="407"/>
      <c r="E104" s="407"/>
    </row>
    <row r="105" spans="1:7" x14ac:dyDescent="0.25">
      <c r="D105" s="407"/>
      <c r="E105" s="407"/>
    </row>
    <row r="106" spans="1:7" x14ac:dyDescent="0.25">
      <c r="D106" s="407"/>
      <c r="E106" s="407"/>
    </row>
    <row r="107" spans="1:7" x14ac:dyDescent="0.25">
      <c r="D107" s="407"/>
      <c r="E107" s="407"/>
    </row>
    <row r="108" spans="1:7" s="65" customFormat="1" x14ac:dyDescent="0.25">
      <c r="A108" s="406"/>
      <c r="B108" s="413"/>
      <c r="C108" s="413"/>
      <c r="D108" s="413"/>
      <c r="E108" s="413"/>
      <c r="F108" s="413"/>
      <c r="G108" s="301"/>
    </row>
    <row r="109" spans="1:7" x14ac:dyDescent="0.25">
      <c r="D109" s="407"/>
      <c r="E109" s="407"/>
    </row>
    <row r="110" spans="1:7" s="65" customFormat="1" x14ac:dyDescent="0.25">
      <c r="A110" s="406"/>
      <c r="B110" s="413"/>
      <c r="C110" s="413"/>
      <c r="D110" s="413"/>
      <c r="E110" s="413"/>
      <c r="F110" s="413"/>
      <c r="G110" s="301"/>
    </row>
    <row r="111" spans="1:7" x14ac:dyDescent="0.25">
      <c r="D111" s="407"/>
      <c r="E111" s="407"/>
    </row>
    <row r="112" spans="1:7" x14ac:dyDescent="0.25">
      <c r="D112" s="407"/>
      <c r="E112" s="407"/>
    </row>
    <row r="113" spans="1:7" x14ac:dyDescent="0.25">
      <c r="D113" s="407"/>
      <c r="E113" s="407"/>
    </row>
    <row r="114" spans="1:7" x14ac:dyDescent="0.25">
      <c r="D114" s="407"/>
      <c r="E114" s="407"/>
    </row>
    <row r="115" spans="1:7" x14ac:dyDescent="0.25">
      <c r="D115" s="407"/>
      <c r="E115" s="407"/>
    </row>
    <row r="116" spans="1:7" x14ac:dyDescent="0.25">
      <c r="D116" s="407"/>
      <c r="E116" s="407"/>
    </row>
    <row r="117" spans="1:7" x14ac:dyDescent="0.25">
      <c r="D117" s="407"/>
      <c r="E117" s="407"/>
    </row>
    <row r="118" spans="1:7" x14ac:dyDescent="0.25">
      <c r="D118" s="407"/>
      <c r="E118" s="407"/>
    </row>
    <row r="119" spans="1:7" x14ac:dyDescent="0.25">
      <c r="D119" s="407"/>
      <c r="E119" s="407"/>
    </row>
    <row r="120" spans="1:7" s="65" customFormat="1" x14ac:dyDescent="0.25">
      <c r="A120" s="406"/>
      <c r="B120" s="413"/>
      <c r="C120" s="413"/>
      <c r="D120" s="413"/>
      <c r="E120" s="413"/>
      <c r="F120" s="413"/>
      <c r="G120" s="301"/>
    </row>
    <row r="121" spans="1:7" x14ac:dyDescent="0.25">
      <c r="A121" s="410"/>
      <c r="B121" s="411"/>
      <c r="C121" s="411"/>
      <c r="D121" s="412"/>
      <c r="E121" s="412"/>
    </row>
    <row r="122" spans="1:7" x14ac:dyDescent="0.25">
      <c r="A122" s="410"/>
      <c r="B122" s="411"/>
      <c r="C122" s="411"/>
      <c r="D122" s="412"/>
      <c r="E122" s="412"/>
    </row>
    <row r="123" spans="1:7" x14ac:dyDescent="0.25">
      <c r="A123" s="410"/>
      <c r="B123" s="411"/>
      <c r="C123" s="411"/>
      <c r="D123" s="412"/>
      <c r="E123" s="412"/>
    </row>
    <row r="124" spans="1:7" x14ac:dyDescent="0.25">
      <c r="A124" s="410"/>
      <c r="B124" s="411"/>
      <c r="C124" s="411"/>
      <c r="D124" s="412"/>
      <c r="E124" s="412"/>
    </row>
    <row r="125" spans="1:7" s="65" customFormat="1" x14ac:dyDescent="0.25">
      <c r="A125" s="410"/>
      <c r="B125" s="414"/>
      <c r="C125" s="414"/>
      <c r="D125" s="414"/>
      <c r="E125" s="414"/>
      <c r="F125" s="414"/>
      <c r="G125" s="301"/>
    </row>
    <row r="127" spans="1:7" x14ac:dyDescent="0.25">
      <c r="B127" s="109"/>
    </row>
    <row r="131" spans="1:17" s="253" customFormat="1" x14ac:dyDescent="0.25">
      <c r="A131" s="406"/>
      <c r="B131" s="190"/>
      <c r="C131" s="190"/>
      <c r="D131" s="408"/>
      <c r="E131" s="408"/>
      <c r="F131" s="408"/>
      <c r="G131" s="301"/>
      <c r="H131" s="4"/>
      <c r="Q131" s="65"/>
    </row>
    <row r="132" spans="1:17" s="253" customFormat="1" x14ac:dyDescent="0.25">
      <c r="A132" s="406"/>
      <c r="B132" s="190"/>
      <c r="C132" s="190"/>
      <c r="D132" s="408"/>
      <c r="E132" s="408"/>
      <c r="F132" s="408"/>
      <c r="G132" s="301"/>
      <c r="H132" s="4"/>
      <c r="Q132" s="65"/>
    </row>
    <row r="133" spans="1:17" s="253" customFormat="1" x14ac:dyDescent="0.25">
      <c r="A133" s="406"/>
      <c r="B133" s="190"/>
      <c r="C133" s="190"/>
      <c r="D133" s="408"/>
      <c r="E133" s="408"/>
      <c r="F133" s="408"/>
      <c r="G133" s="301"/>
      <c r="H133" s="4"/>
      <c r="Q133" s="65"/>
    </row>
    <row r="134" spans="1:17" s="253" customFormat="1" x14ac:dyDescent="0.25">
      <c r="A134" s="406"/>
      <c r="B134" s="190"/>
      <c r="C134" s="190"/>
      <c r="D134" s="408"/>
      <c r="E134" s="408"/>
      <c r="F134" s="408"/>
      <c r="G134" s="301"/>
      <c r="H134" s="4"/>
      <c r="Q134" s="65"/>
    </row>
    <row r="135" spans="1:17" s="253" customFormat="1" x14ac:dyDescent="0.25">
      <c r="A135" s="406"/>
      <c r="B135" s="190"/>
      <c r="C135" s="190"/>
      <c r="D135" s="408"/>
      <c r="E135" s="408"/>
      <c r="F135" s="408"/>
      <c r="G135" s="301"/>
      <c r="H135" s="4"/>
      <c r="Q135" s="65"/>
    </row>
    <row r="136" spans="1:17" s="253" customFormat="1" x14ac:dyDescent="0.25">
      <c r="A136" s="406"/>
      <c r="B136" s="190"/>
      <c r="C136" s="190"/>
      <c r="D136" s="408"/>
      <c r="E136" s="408"/>
      <c r="F136" s="408"/>
      <c r="G136" s="301"/>
      <c r="H136" s="4"/>
      <c r="Q136" s="65"/>
    </row>
  </sheetData>
  <mergeCells count="80">
    <mergeCell ref="A9:D9"/>
    <mergeCell ref="A10:D10"/>
    <mergeCell ref="F3:G3"/>
    <mergeCell ref="F4:G4"/>
    <mergeCell ref="F5:G5"/>
    <mergeCell ref="A7:G7"/>
    <mergeCell ref="A8:G8"/>
    <mergeCell ref="A2:A6"/>
    <mergeCell ref="A11:D11"/>
    <mergeCell ref="E9:G9"/>
    <mergeCell ref="E10:G10"/>
    <mergeCell ref="E11:G11"/>
    <mergeCell ref="A41:C41"/>
    <mergeCell ref="A29:B29"/>
    <mergeCell ref="A20:B20"/>
    <mergeCell ref="A21:B21"/>
    <mergeCell ref="A22:B22"/>
    <mergeCell ref="A23:B23"/>
    <mergeCell ref="A24:B24"/>
    <mergeCell ref="A17:B17"/>
    <mergeCell ref="A18:B18"/>
    <mergeCell ref="A19:B19"/>
    <mergeCell ref="E14:F14"/>
    <mergeCell ref="G14:G15"/>
    <mergeCell ref="A43:C43"/>
    <mergeCell ref="D14:D15"/>
    <mergeCell ref="A34:B34"/>
    <mergeCell ref="A33:B33"/>
    <mergeCell ref="A35:B35"/>
    <mergeCell ref="A30:B30"/>
    <mergeCell ref="A31:B31"/>
    <mergeCell ref="A32:B32"/>
    <mergeCell ref="A25:B25"/>
    <mergeCell ref="A26:B26"/>
    <mergeCell ref="A27:B27"/>
    <mergeCell ref="A28:B28"/>
    <mergeCell ref="A16:B16"/>
    <mergeCell ref="A14:B15"/>
    <mergeCell ref="C14:C15"/>
    <mergeCell ref="I2:I6"/>
    <mergeCell ref="N3:O3"/>
    <mergeCell ref="N4:O4"/>
    <mergeCell ref="N5:O5"/>
    <mergeCell ref="I7:O7"/>
    <mergeCell ref="I8:O8"/>
    <mergeCell ref="I9:L9"/>
    <mergeCell ref="M9:O9"/>
    <mergeCell ref="I10:L10"/>
    <mergeCell ref="M10:O10"/>
    <mergeCell ref="I11:L11"/>
    <mergeCell ref="M11:O11"/>
    <mergeCell ref="I14:J15"/>
    <mergeCell ref="K14:K15"/>
    <mergeCell ref="L14:L15"/>
    <mergeCell ref="M14:N14"/>
    <mergeCell ref="O14:O15"/>
    <mergeCell ref="I23:J23"/>
    <mergeCell ref="I24:J24"/>
    <mergeCell ref="I25:J25"/>
    <mergeCell ref="I16:J16"/>
    <mergeCell ref="I17:J17"/>
    <mergeCell ref="I18:J18"/>
    <mergeCell ref="I19:J19"/>
    <mergeCell ref="I20:J20"/>
    <mergeCell ref="I41:K41"/>
    <mergeCell ref="I43:K43"/>
    <mergeCell ref="A1:G1"/>
    <mergeCell ref="I1:M1"/>
    <mergeCell ref="I31:J31"/>
    <mergeCell ref="I32:J32"/>
    <mergeCell ref="I33:J33"/>
    <mergeCell ref="I34:J34"/>
    <mergeCell ref="I35:J35"/>
    <mergeCell ref="I26:J26"/>
    <mergeCell ref="I27:J27"/>
    <mergeCell ref="I28:J28"/>
    <mergeCell ref="I29:J29"/>
    <mergeCell ref="I30:J30"/>
    <mergeCell ref="I21:J21"/>
    <mergeCell ref="I22:J22"/>
  </mergeCells>
  <dataValidations count="3">
    <dataValidation type="list" allowBlank="1" showInputMessage="1" showErrorMessage="1" sqref="E10:G10" xr:uid="{00000000-0002-0000-0300-000000000000}">
      <formula1>$R$5:$R$10</formula1>
    </dataValidation>
    <dataValidation type="list" allowBlank="1" showInputMessage="1" showErrorMessage="1" sqref="O1" xr:uid="{00000000-0002-0000-0300-000001000000}">
      <formula1>$R$15:$R$20</formula1>
    </dataValidation>
    <dataValidation showDropDown="1" showInputMessage="1" showErrorMessage="1" sqref="M10:O10" xr:uid="{00000000-0002-0000-0300-000002000000}"/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0"/>
  <sheetViews>
    <sheetView topLeftCell="A100" zoomScaleNormal="100" workbookViewId="0">
      <selection activeCell="C121" sqref="C121"/>
    </sheetView>
  </sheetViews>
  <sheetFormatPr defaultColWidth="8.85546875" defaultRowHeight="15" x14ac:dyDescent="0.25"/>
  <cols>
    <col min="1" max="1" width="4.5703125" style="304" customWidth="1"/>
    <col min="2" max="2" width="34.28515625" style="110" customWidth="1"/>
    <col min="3" max="3" width="34.7109375" style="110" customWidth="1"/>
    <col min="4" max="4" width="13.7109375" style="253" customWidth="1"/>
    <col min="5" max="5" width="8.85546875" style="253"/>
    <col min="6" max="6" width="13.28515625" style="253" customWidth="1"/>
    <col min="7" max="7" width="13.42578125" style="253" customWidth="1"/>
    <col min="8" max="8" width="13.28515625" style="253" customWidth="1"/>
    <col min="9" max="9" width="8.85546875" style="4"/>
    <col min="10" max="10" width="26.42578125" style="297" customWidth="1"/>
    <col min="11" max="16384" width="8.85546875" style="4"/>
  </cols>
  <sheetData>
    <row r="1" spans="1:10" x14ac:dyDescent="0.25">
      <c r="A1" s="617" t="s">
        <v>890</v>
      </c>
      <c r="B1" s="617"/>
      <c r="C1" s="617"/>
      <c r="D1" s="618"/>
      <c r="E1" s="618"/>
      <c r="F1" s="618"/>
      <c r="G1" s="618"/>
      <c r="H1" s="618"/>
    </row>
    <row r="2" spans="1:10" thickBot="1" x14ac:dyDescent="0.35"/>
    <row r="3" spans="1:10" ht="45.75" thickBot="1" x14ac:dyDescent="0.3">
      <c r="A3" s="353" t="s">
        <v>715</v>
      </c>
      <c r="B3" s="354" t="s">
        <v>716</v>
      </c>
      <c r="C3" s="354" t="s">
        <v>717</v>
      </c>
      <c r="D3" s="360" t="s">
        <v>407</v>
      </c>
      <c r="E3" s="360" t="s">
        <v>415</v>
      </c>
      <c r="F3" s="361" t="s">
        <v>718</v>
      </c>
      <c r="G3" s="361" t="s">
        <v>719</v>
      </c>
      <c r="H3" s="360" t="s">
        <v>720</v>
      </c>
    </row>
    <row r="4" spans="1:10" s="65" customFormat="1" ht="15.75" thickBot="1" x14ac:dyDescent="0.3">
      <c r="A4" s="353">
        <v>1</v>
      </c>
      <c r="B4" s="615" t="s">
        <v>721</v>
      </c>
      <c r="C4" s="615"/>
      <c r="D4" s="615"/>
      <c r="E4" s="615"/>
      <c r="F4" s="615"/>
      <c r="G4" s="615"/>
      <c r="H4" s="616"/>
      <c r="J4" s="298"/>
    </row>
    <row r="5" spans="1:10" x14ac:dyDescent="0.25">
      <c r="A5" s="305"/>
      <c r="B5" s="271" t="s">
        <v>721</v>
      </c>
      <c r="C5" s="399" t="s">
        <v>932</v>
      </c>
      <c r="D5" s="206">
        <f>IF(C5&gt;0,1,0)</f>
        <v>1</v>
      </c>
      <c r="E5" s="312" t="s">
        <v>722</v>
      </c>
      <c r="F5" s="278"/>
      <c r="G5" s="278"/>
      <c r="H5" s="207">
        <f>(F5+G5)*D5</f>
        <v>0</v>
      </c>
    </row>
    <row r="6" spans="1:10" x14ac:dyDescent="0.25">
      <c r="A6" s="306"/>
      <c r="B6" s="270" t="s">
        <v>723</v>
      </c>
      <c r="C6" s="270"/>
      <c r="D6" s="225">
        <f>IF(Просчет!B9&gt;0,1,0)</f>
        <v>0</v>
      </c>
      <c r="E6" s="225" t="s">
        <v>722</v>
      </c>
      <c r="F6" s="249"/>
      <c r="G6" s="208">
        <f t="shared" ref="G6:G26" si="0">F6/1.25*0.55</f>
        <v>0</v>
      </c>
      <c r="H6" s="209">
        <f t="shared" ref="H6:H26" si="1">(F6+G6)*D6</f>
        <v>0</v>
      </c>
    </row>
    <row r="7" spans="1:10" x14ac:dyDescent="0.25">
      <c r="A7" s="306"/>
      <c r="B7" s="270" t="s">
        <v>732</v>
      </c>
      <c r="C7" s="261" t="s">
        <v>884</v>
      </c>
      <c r="D7" s="255">
        <v>0</v>
      </c>
      <c r="E7" s="255" t="s">
        <v>722</v>
      </c>
      <c r="F7" s="256">
        <v>0</v>
      </c>
      <c r="G7" s="208">
        <f t="shared" si="0"/>
        <v>0</v>
      </c>
      <c r="H7" s="209">
        <f t="shared" si="1"/>
        <v>0</v>
      </c>
    </row>
    <row r="8" spans="1:10" ht="30.75" thickBot="1" x14ac:dyDescent="0.3">
      <c r="A8" s="307"/>
      <c r="B8" s="273" t="s">
        <v>732</v>
      </c>
      <c r="C8" s="273" t="str">
        <f>Просчет!A25</f>
        <v>HAUBERK ТЕХНОНИКОЛЬ Терракотовый кирпич</v>
      </c>
      <c r="D8" s="210">
        <f>Просчет!B25</f>
        <v>0</v>
      </c>
      <c r="E8" s="210" t="str">
        <f>Просчет!C25</f>
        <v>м2</v>
      </c>
      <c r="F8" s="283"/>
      <c r="G8" s="210">
        <f t="shared" si="0"/>
        <v>0</v>
      </c>
      <c r="H8" s="211">
        <f t="shared" si="1"/>
        <v>0</v>
      </c>
    </row>
    <row r="9" spans="1:10" s="65" customFormat="1" ht="15.75" thickBot="1" x14ac:dyDescent="0.3">
      <c r="A9" s="353">
        <f>A4+1</f>
        <v>2</v>
      </c>
      <c r="B9" s="615" t="s">
        <v>724</v>
      </c>
      <c r="C9" s="615"/>
      <c r="D9" s="615"/>
      <c r="E9" s="615"/>
      <c r="F9" s="615"/>
      <c r="G9" s="615"/>
      <c r="H9" s="616"/>
      <c r="J9" s="298"/>
    </row>
    <row r="10" spans="1:10" ht="30" x14ac:dyDescent="0.25">
      <c r="A10" s="322"/>
      <c r="B10" s="284" t="s">
        <v>724</v>
      </c>
      <c r="C10" s="238" t="s">
        <v>568</v>
      </c>
      <c r="D10" s="240">
        <f>SUM(Просчет!E32:E40)+SUM(Просчет!E56:E71)</f>
        <v>0</v>
      </c>
      <c r="E10" s="285" t="s">
        <v>1</v>
      </c>
      <c r="F10" s="285">
        <v>11500</v>
      </c>
      <c r="G10" s="240">
        <f t="shared" si="0"/>
        <v>5060</v>
      </c>
      <c r="H10" s="241">
        <f>(F10+G10)*D10</f>
        <v>0</v>
      </c>
    </row>
    <row r="11" spans="1:10" ht="30" x14ac:dyDescent="0.25">
      <c r="A11" s="322"/>
      <c r="B11" s="284" t="s">
        <v>724</v>
      </c>
      <c r="C11" s="238" t="s">
        <v>569</v>
      </c>
      <c r="D11" s="240">
        <f>SUM(Просчет!E41:E49)+SUM(Просчет!E73:E88)</f>
        <v>0</v>
      </c>
      <c r="E11" s="285" t="s">
        <v>1</v>
      </c>
      <c r="F11" s="285">
        <v>13500</v>
      </c>
      <c r="G11" s="208">
        <f t="shared" si="0"/>
        <v>5940.0000000000009</v>
      </c>
      <c r="H11" s="241">
        <f>(F11+G11)*D11</f>
        <v>0</v>
      </c>
    </row>
    <row r="12" spans="1:10" ht="30" x14ac:dyDescent="0.25">
      <c r="A12" s="322"/>
      <c r="B12" s="284" t="s">
        <v>724</v>
      </c>
      <c r="C12" s="238" t="s">
        <v>570</v>
      </c>
      <c r="D12" s="240">
        <f>SUM(Просчет!E50:E54)+SUM(Просчет!E90:E99)</f>
        <v>3.7368000000000001</v>
      </c>
      <c r="E12" s="285" t="s">
        <v>1</v>
      </c>
      <c r="F12" s="285">
        <v>16500</v>
      </c>
      <c r="G12" s="208">
        <f t="shared" si="0"/>
        <v>7260.0000000000009</v>
      </c>
      <c r="H12" s="241">
        <f>(F12+G12)*D12</f>
        <v>88786.368000000002</v>
      </c>
    </row>
    <row r="13" spans="1:10" ht="30" x14ac:dyDescent="0.25">
      <c r="A13" s="322"/>
      <c r="B13" s="281" t="s">
        <v>770</v>
      </c>
      <c r="C13" s="270" t="s">
        <v>908</v>
      </c>
      <c r="D13" s="208">
        <f>SUM(Просчет!E101:E103)</f>
        <v>0</v>
      </c>
      <c r="E13" s="225" t="s">
        <v>1</v>
      </c>
      <c r="F13" s="225">
        <v>14125</v>
      </c>
      <c r="G13" s="208">
        <f t="shared" si="0"/>
        <v>6215.0000000000009</v>
      </c>
      <c r="H13" s="209">
        <f t="shared" si="1"/>
        <v>0</v>
      </c>
    </row>
    <row r="14" spans="1:10" ht="30" x14ac:dyDescent="0.25">
      <c r="A14" s="322"/>
      <c r="B14" s="281" t="s">
        <v>770</v>
      </c>
      <c r="C14" s="270" t="s">
        <v>909</v>
      </c>
      <c r="D14" s="208">
        <f>SUM(Просчет!E104:E106)</f>
        <v>0</v>
      </c>
      <c r="E14" s="225" t="s">
        <v>1</v>
      </c>
      <c r="F14" s="225">
        <v>17875</v>
      </c>
      <c r="G14" s="208">
        <f t="shared" si="0"/>
        <v>7865.0000000000009</v>
      </c>
      <c r="H14" s="209">
        <f t="shared" si="1"/>
        <v>0</v>
      </c>
    </row>
    <row r="15" spans="1:10" ht="30" x14ac:dyDescent="0.25">
      <c r="A15" s="322"/>
      <c r="B15" s="281" t="s">
        <v>774</v>
      </c>
      <c r="C15" s="270" t="s">
        <v>910</v>
      </c>
      <c r="D15" s="208">
        <f>SUM(Просчет!B108:B110)</f>
        <v>0</v>
      </c>
      <c r="E15" s="225" t="s">
        <v>1</v>
      </c>
      <c r="F15" s="225">
        <v>17750</v>
      </c>
      <c r="G15" s="208">
        <f t="shared" si="0"/>
        <v>7810.0000000000009</v>
      </c>
      <c r="H15" s="209">
        <f t="shared" si="1"/>
        <v>0</v>
      </c>
      <c r="J15" s="297" t="s">
        <v>891</v>
      </c>
    </row>
    <row r="16" spans="1:10" x14ac:dyDescent="0.25">
      <c r="A16" s="322"/>
      <c r="B16" s="281" t="s">
        <v>775</v>
      </c>
      <c r="C16" s="270" t="s">
        <v>776</v>
      </c>
      <c r="D16" s="208">
        <f>Просчет!B111</f>
        <v>0</v>
      </c>
      <c r="E16" s="225" t="s">
        <v>1</v>
      </c>
      <c r="F16" s="225">
        <v>11000</v>
      </c>
      <c r="G16" s="208">
        <f t="shared" si="0"/>
        <v>4840</v>
      </c>
      <c r="H16" s="209">
        <f t="shared" si="1"/>
        <v>0</v>
      </c>
    </row>
    <row r="17" spans="1:10" x14ac:dyDescent="0.25">
      <c r="A17" s="322"/>
      <c r="B17" s="281" t="s">
        <v>775</v>
      </c>
      <c r="C17" s="270" t="s">
        <v>777</v>
      </c>
      <c r="D17" s="208">
        <f>Просчет!B112</f>
        <v>0</v>
      </c>
      <c r="E17" s="225" t="s">
        <v>1</v>
      </c>
      <c r="F17" s="225">
        <v>11000</v>
      </c>
      <c r="G17" s="208">
        <f t="shared" si="0"/>
        <v>4840</v>
      </c>
      <c r="H17" s="209">
        <f t="shared" si="1"/>
        <v>0</v>
      </c>
    </row>
    <row r="18" spans="1:10" x14ac:dyDescent="0.25">
      <c r="A18" s="322"/>
      <c r="B18" s="281" t="s">
        <v>775</v>
      </c>
      <c r="C18" s="270" t="s">
        <v>778</v>
      </c>
      <c r="D18" s="208">
        <f>Просчет!B113</f>
        <v>0</v>
      </c>
      <c r="E18" s="225" t="s">
        <v>1</v>
      </c>
      <c r="F18" s="225">
        <v>11000</v>
      </c>
      <c r="G18" s="208">
        <f t="shared" si="0"/>
        <v>4840</v>
      </c>
      <c r="H18" s="209">
        <f t="shared" si="1"/>
        <v>0</v>
      </c>
    </row>
    <row r="19" spans="1:10" x14ac:dyDescent="0.25">
      <c r="A19" s="322"/>
      <c r="B19" s="281" t="s">
        <v>775</v>
      </c>
      <c r="C19" s="270" t="s">
        <v>779</v>
      </c>
      <c r="D19" s="208">
        <f>Просчет!B114</f>
        <v>0</v>
      </c>
      <c r="E19" s="225" t="s">
        <v>1</v>
      </c>
      <c r="F19" s="225">
        <v>11000</v>
      </c>
      <c r="G19" s="208">
        <f t="shared" si="0"/>
        <v>4840</v>
      </c>
      <c r="H19" s="209">
        <f t="shared" si="1"/>
        <v>0</v>
      </c>
    </row>
    <row r="20" spans="1:10" ht="30" x14ac:dyDescent="0.25">
      <c r="A20" s="322"/>
      <c r="B20" s="281" t="s">
        <v>775</v>
      </c>
      <c r="C20" s="270" t="s">
        <v>780</v>
      </c>
      <c r="D20" s="208">
        <f>Просчет!B115</f>
        <v>0</v>
      </c>
      <c r="E20" s="225" t="s">
        <v>1</v>
      </c>
      <c r="F20" s="251"/>
      <c r="G20" s="208">
        <f t="shared" si="0"/>
        <v>0</v>
      </c>
      <c r="H20" s="209">
        <f t="shared" si="1"/>
        <v>0</v>
      </c>
    </row>
    <row r="21" spans="1:10" x14ac:dyDescent="0.25">
      <c r="A21" s="322"/>
      <c r="B21" s="281" t="s">
        <v>775</v>
      </c>
      <c r="C21" s="270" t="s">
        <v>781</v>
      </c>
      <c r="D21" s="208">
        <f>Просчет!B116</f>
        <v>0</v>
      </c>
      <c r="E21" s="225" t="s">
        <v>1</v>
      </c>
      <c r="F21" s="251"/>
      <c r="G21" s="208">
        <f t="shared" si="0"/>
        <v>0</v>
      </c>
      <c r="H21" s="209">
        <f t="shared" si="1"/>
        <v>0</v>
      </c>
    </row>
    <row r="22" spans="1:10" ht="15.75" thickBot="1" x14ac:dyDescent="0.3">
      <c r="A22" s="322"/>
      <c r="B22" s="282" t="s">
        <v>783</v>
      </c>
      <c r="C22" s="272" t="str">
        <f>Просчет!A12</f>
        <v>Антисептик 3TREE BIO 10кг</v>
      </c>
      <c r="D22" s="226">
        <f>IF(Просчет!B12&gt;0,1,0)</f>
        <v>1</v>
      </c>
      <c r="E22" s="226" t="s">
        <v>722</v>
      </c>
      <c r="F22" s="277">
        <f>Просчет!G12</f>
        <v>920</v>
      </c>
      <c r="G22" s="226">
        <f t="shared" si="0"/>
        <v>404.8</v>
      </c>
      <c r="H22" s="235">
        <f t="shared" si="1"/>
        <v>1324.8</v>
      </c>
    </row>
    <row r="23" spans="1:10" s="65" customFormat="1" ht="15.75" thickBot="1" x14ac:dyDescent="0.3">
      <c r="A23" s="354">
        <f>A9+1</f>
        <v>3</v>
      </c>
      <c r="B23" s="615" t="s">
        <v>782</v>
      </c>
      <c r="C23" s="615"/>
      <c r="D23" s="615"/>
      <c r="E23" s="615"/>
      <c r="F23" s="615"/>
      <c r="G23" s="615"/>
      <c r="H23" s="616"/>
      <c r="J23" s="298"/>
    </row>
    <row r="24" spans="1:10" x14ac:dyDescent="0.25">
      <c r="A24" s="308"/>
      <c r="B24" s="284" t="s">
        <v>784</v>
      </c>
      <c r="C24" s="238" t="s">
        <v>785</v>
      </c>
      <c r="D24" s="285">
        <f>Просчет!B227</f>
        <v>0</v>
      </c>
      <c r="E24" s="240" t="s">
        <v>4</v>
      </c>
      <c r="F24" s="285">
        <v>488</v>
      </c>
      <c r="G24" s="240">
        <f t="shared" si="0"/>
        <v>214.72</v>
      </c>
      <c r="H24" s="241">
        <f t="shared" si="1"/>
        <v>0</v>
      </c>
    </row>
    <row r="25" spans="1:10" x14ac:dyDescent="0.25">
      <c r="A25" s="308"/>
      <c r="B25" s="281" t="s">
        <v>784</v>
      </c>
      <c r="C25" s="270" t="s">
        <v>786</v>
      </c>
      <c r="D25" s="225">
        <f>Просчет!B228</f>
        <v>164</v>
      </c>
      <c r="E25" s="208" t="s">
        <v>4</v>
      </c>
      <c r="F25" s="225">
        <v>713</v>
      </c>
      <c r="G25" s="208">
        <f t="shared" si="0"/>
        <v>313.72000000000003</v>
      </c>
      <c r="H25" s="209">
        <f t="shared" si="1"/>
        <v>168382.08000000002</v>
      </c>
    </row>
    <row r="26" spans="1:10" x14ac:dyDescent="0.25">
      <c r="A26" s="308"/>
      <c r="B26" s="281" t="s">
        <v>784</v>
      </c>
      <c r="C26" s="270" t="s">
        <v>201</v>
      </c>
      <c r="D26" s="225">
        <f>Просчет!B229</f>
        <v>0</v>
      </c>
      <c r="E26" s="208" t="s">
        <v>4</v>
      </c>
      <c r="F26" s="225">
        <v>750</v>
      </c>
      <c r="G26" s="208">
        <f t="shared" si="0"/>
        <v>330</v>
      </c>
      <c r="H26" s="209">
        <f t="shared" si="1"/>
        <v>0</v>
      </c>
    </row>
    <row r="27" spans="1:10" x14ac:dyDescent="0.25">
      <c r="A27" s="308"/>
      <c r="B27" s="281" t="s">
        <v>784</v>
      </c>
      <c r="C27" s="270" t="s">
        <v>787</v>
      </c>
      <c r="D27" s="225">
        <f>Просчет!B230</f>
        <v>0</v>
      </c>
      <c r="E27" s="208" t="s">
        <v>4</v>
      </c>
      <c r="F27" s="251"/>
      <c r="G27" s="208">
        <f t="shared" ref="G27:G84" si="2">F27/1.25*0.55</f>
        <v>0</v>
      </c>
      <c r="H27" s="209">
        <f t="shared" ref="H27:H84" si="3">(F27+G27)*D27</f>
        <v>0</v>
      </c>
    </row>
    <row r="28" spans="1:10" ht="30" x14ac:dyDescent="0.25">
      <c r="A28" s="308"/>
      <c r="B28" s="281" t="s">
        <v>788</v>
      </c>
      <c r="C28" s="270" t="s">
        <v>789</v>
      </c>
      <c r="D28" s="225">
        <f>IF(Просчет!B231&gt;0,1,0)</f>
        <v>1</v>
      </c>
      <c r="E28" s="208" t="s">
        <v>722</v>
      </c>
      <c r="F28" s="251"/>
      <c r="G28" s="208">
        <f t="shared" si="2"/>
        <v>0</v>
      </c>
      <c r="H28" s="209">
        <f t="shared" si="3"/>
        <v>0</v>
      </c>
    </row>
    <row r="29" spans="1:10" ht="30" x14ac:dyDescent="0.25">
      <c r="A29" s="308"/>
      <c r="B29" s="281" t="s">
        <v>788</v>
      </c>
      <c r="C29" s="270" t="s">
        <v>789</v>
      </c>
      <c r="D29" s="225">
        <f>IF(Просчет!B232&gt;0,1,0)</f>
        <v>0</v>
      </c>
      <c r="E29" s="208" t="s">
        <v>722</v>
      </c>
      <c r="F29" s="251"/>
      <c r="G29" s="208">
        <f t="shared" si="2"/>
        <v>0</v>
      </c>
      <c r="H29" s="209">
        <f t="shared" si="3"/>
        <v>0</v>
      </c>
    </row>
    <row r="30" spans="1:10" x14ac:dyDescent="0.25">
      <c r="A30" s="308"/>
      <c r="B30" s="281" t="s">
        <v>790</v>
      </c>
      <c r="C30" s="270" t="s">
        <v>618</v>
      </c>
      <c r="D30" s="225">
        <f>IF(Просчет!B233&gt;0,1,0)</f>
        <v>0</v>
      </c>
      <c r="E30" s="208" t="s">
        <v>722</v>
      </c>
      <c r="F30" s="251"/>
      <c r="G30" s="208">
        <f t="shared" si="2"/>
        <v>0</v>
      </c>
      <c r="H30" s="209">
        <f t="shared" si="3"/>
        <v>0</v>
      </c>
    </row>
    <row r="31" spans="1:10" ht="45" x14ac:dyDescent="0.25">
      <c r="A31" s="308"/>
      <c r="B31" s="400" t="s">
        <v>853</v>
      </c>
      <c r="C31" s="270" t="s">
        <v>793</v>
      </c>
      <c r="D31" s="225">
        <f>Просчет!B234</f>
        <v>0</v>
      </c>
      <c r="E31" s="208" t="s">
        <v>4</v>
      </c>
      <c r="F31" s="251"/>
      <c r="G31" s="208">
        <f t="shared" si="2"/>
        <v>0</v>
      </c>
      <c r="H31" s="209">
        <f t="shared" si="3"/>
        <v>0</v>
      </c>
    </row>
    <row r="32" spans="1:10" ht="45" x14ac:dyDescent="0.25">
      <c r="A32" s="308"/>
      <c r="B32" s="400" t="s">
        <v>853</v>
      </c>
      <c r="C32" s="270" t="s">
        <v>877</v>
      </c>
      <c r="D32" s="225">
        <f>Просчет!B134</f>
        <v>0</v>
      </c>
      <c r="E32" s="208" t="s">
        <v>4</v>
      </c>
      <c r="F32" s="225">
        <v>275</v>
      </c>
      <c r="G32" s="208">
        <f t="shared" si="2"/>
        <v>121.00000000000001</v>
      </c>
      <c r="H32" s="209">
        <f t="shared" si="3"/>
        <v>0</v>
      </c>
    </row>
    <row r="33" spans="1:10" ht="45" x14ac:dyDescent="0.25">
      <c r="A33" s="308"/>
      <c r="B33" s="400" t="s">
        <v>853</v>
      </c>
      <c r="C33" s="270" t="s">
        <v>880</v>
      </c>
      <c r="D33" s="225">
        <f>Просчет!B136</f>
        <v>0</v>
      </c>
      <c r="E33" s="208" t="s">
        <v>4</v>
      </c>
      <c r="F33" s="225">
        <v>194</v>
      </c>
      <c r="G33" s="208">
        <f t="shared" si="2"/>
        <v>85.36</v>
      </c>
      <c r="H33" s="209">
        <f t="shared" si="3"/>
        <v>0</v>
      </c>
    </row>
    <row r="34" spans="1:10" ht="45" x14ac:dyDescent="0.25">
      <c r="A34" s="308"/>
      <c r="B34" s="400" t="s">
        <v>853</v>
      </c>
      <c r="C34" s="270" t="s">
        <v>876</v>
      </c>
      <c r="D34" s="225">
        <f>Просчет!B137</f>
        <v>99</v>
      </c>
      <c r="E34" s="208" t="s">
        <v>4</v>
      </c>
      <c r="F34" s="225">
        <v>450</v>
      </c>
      <c r="G34" s="208">
        <f t="shared" si="2"/>
        <v>198.00000000000003</v>
      </c>
      <c r="H34" s="209">
        <f t="shared" si="3"/>
        <v>64152</v>
      </c>
    </row>
    <row r="35" spans="1:10" ht="45" x14ac:dyDescent="0.25">
      <c r="A35" s="308"/>
      <c r="B35" s="400" t="s">
        <v>853</v>
      </c>
      <c r="C35" s="270" t="s">
        <v>792</v>
      </c>
      <c r="D35" s="225">
        <f>Просчет!B235</f>
        <v>0</v>
      </c>
      <c r="E35" s="208" t="s">
        <v>4</v>
      </c>
      <c r="F35" s="251"/>
      <c r="G35" s="208">
        <f t="shared" si="2"/>
        <v>0</v>
      </c>
      <c r="H35" s="209">
        <f t="shared" si="3"/>
        <v>0</v>
      </c>
    </row>
    <row r="36" spans="1:10" ht="30.75" thickBot="1" x14ac:dyDescent="0.3">
      <c r="A36" s="308"/>
      <c r="B36" s="282" t="s">
        <v>791</v>
      </c>
      <c r="C36" s="272" t="s">
        <v>794</v>
      </c>
      <c r="D36" s="239">
        <f>Просчет!B236</f>
        <v>0</v>
      </c>
      <c r="E36" s="226" t="s">
        <v>0</v>
      </c>
      <c r="F36" s="239">
        <v>500</v>
      </c>
      <c r="G36" s="226">
        <f t="shared" si="2"/>
        <v>220.00000000000003</v>
      </c>
      <c r="H36" s="235">
        <f t="shared" si="3"/>
        <v>0</v>
      </c>
    </row>
    <row r="37" spans="1:10" s="65" customFormat="1" ht="15.75" thickBot="1" x14ac:dyDescent="0.3">
      <c r="A37" s="353">
        <f>A23+1</f>
        <v>4</v>
      </c>
      <c r="B37" s="615" t="s">
        <v>894</v>
      </c>
      <c r="C37" s="615"/>
      <c r="D37" s="615"/>
      <c r="E37" s="615"/>
      <c r="F37" s="615"/>
      <c r="G37" s="615"/>
      <c r="H37" s="616"/>
      <c r="J37" s="298"/>
    </row>
    <row r="38" spans="1:10" ht="13.15" customHeight="1" x14ac:dyDescent="0.25">
      <c r="A38" s="308"/>
      <c r="B38" s="284" t="s">
        <v>800</v>
      </c>
      <c r="C38" s="238" t="s">
        <v>803</v>
      </c>
      <c r="D38" s="285">
        <f>Просчет!B243+Просчет!B244*0.5</f>
        <v>0</v>
      </c>
      <c r="E38" s="285" t="s">
        <v>0</v>
      </c>
      <c r="F38" s="285">
        <v>938</v>
      </c>
      <c r="G38" s="240">
        <f t="shared" si="2"/>
        <v>412.72</v>
      </c>
      <c r="H38" s="241">
        <f t="shared" si="3"/>
        <v>0</v>
      </c>
    </row>
    <row r="39" spans="1:10" x14ac:dyDescent="0.25">
      <c r="A39" s="308"/>
      <c r="B39" s="281" t="s">
        <v>801</v>
      </c>
      <c r="C39" s="270" t="s">
        <v>860</v>
      </c>
      <c r="D39" s="225">
        <f>Просчет!B278</f>
        <v>0</v>
      </c>
      <c r="E39" s="225" t="s">
        <v>0</v>
      </c>
      <c r="F39" s="225">
        <v>900</v>
      </c>
      <c r="G39" s="208">
        <f t="shared" si="2"/>
        <v>396.00000000000006</v>
      </c>
      <c r="H39" s="209">
        <f t="shared" si="3"/>
        <v>0</v>
      </c>
    </row>
    <row r="40" spans="1:10" x14ac:dyDescent="0.25">
      <c r="A40" s="308"/>
      <c r="B40" s="281" t="s">
        <v>801</v>
      </c>
      <c r="C40" s="270" t="s">
        <v>804</v>
      </c>
      <c r="D40" s="225">
        <f>Просчет!B245+Просчет!B246*0.5</f>
        <v>0</v>
      </c>
      <c r="E40" s="225" t="s">
        <v>0</v>
      </c>
      <c r="F40" s="225">
        <v>788</v>
      </c>
      <c r="G40" s="208">
        <f t="shared" si="2"/>
        <v>346.72</v>
      </c>
      <c r="H40" s="209">
        <f t="shared" si="3"/>
        <v>0</v>
      </c>
    </row>
    <row r="41" spans="1:10" x14ac:dyDescent="0.25">
      <c r="A41" s="308"/>
      <c r="B41" s="281" t="s">
        <v>802</v>
      </c>
      <c r="C41" s="270" t="s">
        <v>805</v>
      </c>
      <c r="D41" s="225">
        <f>Просчет!B247+Просчет!B248*0.5</f>
        <v>0</v>
      </c>
      <c r="E41" s="225" t="s">
        <v>0</v>
      </c>
      <c r="F41" s="225">
        <v>2313</v>
      </c>
      <c r="G41" s="208">
        <f t="shared" si="2"/>
        <v>1017.7200000000001</v>
      </c>
      <c r="H41" s="209">
        <f t="shared" si="3"/>
        <v>0</v>
      </c>
    </row>
    <row r="42" spans="1:10" x14ac:dyDescent="0.25">
      <c r="A42" s="308"/>
      <c r="B42" s="281" t="s">
        <v>802</v>
      </c>
      <c r="C42" s="270" t="s">
        <v>806</v>
      </c>
      <c r="D42" s="225">
        <f>Просчет!B249+Просчет!B250*0.5</f>
        <v>0</v>
      </c>
      <c r="E42" s="225" t="s">
        <v>0</v>
      </c>
      <c r="F42" s="225">
        <v>875</v>
      </c>
      <c r="G42" s="208">
        <f t="shared" si="2"/>
        <v>385.00000000000006</v>
      </c>
      <c r="H42" s="209">
        <f t="shared" si="3"/>
        <v>0</v>
      </c>
    </row>
    <row r="43" spans="1:10" x14ac:dyDescent="0.25">
      <c r="A43" s="308"/>
      <c r="B43" s="281" t="s">
        <v>800</v>
      </c>
      <c r="C43" s="270" t="s">
        <v>807</v>
      </c>
      <c r="D43" s="225">
        <f>Просчет!B251</f>
        <v>3</v>
      </c>
      <c r="E43" s="225" t="s">
        <v>0</v>
      </c>
      <c r="F43" s="225">
        <v>2194</v>
      </c>
      <c r="G43" s="208">
        <f t="shared" si="2"/>
        <v>965.36000000000013</v>
      </c>
      <c r="H43" s="209">
        <f t="shared" si="3"/>
        <v>9478.08</v>
      </c>
    </row>
    <row r="44" spans="1:10" x14ac:dyDescent="0.25">
      <c r="A44" s="308"/>
      <c r="B44" s="281" t="s">
        <v>801</v>
      </c>
      <c r="C44" s="270" t="s">
        <v>808</v>
      </c>
      <c r="D44" s="225">
        <f>Просчет!B252</f>
        <v>0.5</v>
      </c>
      <c r="E44" s="225" t="s">
        <v>0</v>
      </c>
      <c r="F44" s="225">
        <v>1735</v>
      </c>
      <c r="G44" s="208">
        <f t="shared" si="2"/>
        <v>763.40000000000009</v>
      </c>
      <c r="H44" s="209">
        <f t="shared" si="3"/>
        <v>1249.2</v>
      </c>
    </row>
    <row r="45" spans="1:10" ht="15.75" thickBot="1" x14ac:dyDescent="0.3">
      <c r="A45" s="308"/>
      <c r="B45" s="282" t="s">
        <v>802</v>
      </c>
      <c r="C45" s="272" t="s">
        <v>809</v>
      </c>
      <c r="D45" s="239">
        <f>Просчет!B253</f>
        <v>3</v>
      </c>
      <c r="E45" s="239" t="s">
        <v>0</v>
      </c>
      <c r="F45" s="239">
        <v>3905</v>
      </c>
      <c r="G45" s="226">
        <f t="shared" si="2"/>
        <v>1718.2</v>
      </c>
      <c r="H45" s="235">
        <f t="shared" si="3"/>
        <v>16869.599999999999</v>
      </c>
    </row>
    <row r="46" spans="1:10" s="65" customFormat="1" ht="15.75" thickBot="1" x14ac:dyDescent="0.3">
      <c r="A46" s="353">
        <f>A37+1</f>
        <v>5</v>
      </c>
      <c r="B46" s="615" t="s">
        <v>810</v>
      </c>
      <c r="C46" s="615"/>
      <c r="D46" s="615"/>
      <c r="E46" s="615"/>
      <c r="F46" s="615"/>
      <c r="G46" s="615"/>
      <c r="H46" s="616"/>
      <c r="J46" s="298"/>
    </row>
    <row r="47" spans="1:10" ht="30" x14ac:dyDescent="0.25">
      <c r="A47" s="308"/>
      <c r="B47" s="284" t="s">
        <v>911</v>
      </c>
      <c r="C47" s="238" t="s">
        <v>815</v>
      </c>
      <c r="D47" s="285">
        <f>Просчет!B238</f>
        <v>29.7</v>
      </c>
      <c r="E47" s="285" t="str">
        <f>Просчет!C238</f>
        <v>м3</v>
      </c>
      <c r="F47" s="285">
        <v>1382</v>
      </c>
      <c r="G47" s="240">
        <f t="shared" si="2"/>
        <v>608.08000000000004</v>
      </c>
      <c r="H47" s="241">
        <f t="shared" si="3"/>
        <v>59105.375999999997</v>
      </c>
    </row>
    <row r="48" spans="1:10" ht="30" x14ac:dyDescent="0.25">
      <c r="A48" s="308"/>
      <c r="B48" s="284" t="s">
        <v>911</v>
      </c>
      <c r="C48" s="270" t="s">
        <v>816</v>
      </c>
      <c r="D48" s="225">
        <f>Просчет!B240</f>
        <v>0</v>
      </c>
      <c r="E48" s="225" t="str">
        <f>Просчет!C240</f>
        <v>м3</v>
      </c>
      <c r="F48" s="225">
        <v>1680</v>
      </c>
      <c r="G48" s="208">
        <f t="shared" si="2"/>
        <v>739.2</v>
      </c>
      <c r="H48" s="209">
        <f t="shared" si="3"/>
        <v>0</v>
      </c>
    </row>
    <row r="49" spans="1:13" ht="30" x14ac:dyDescent="0.25">
      <c r="A49" s="308"/>
      <c r="B49" s="284" t="s">
        <v>911</v>
      </c>
      <c r="C49" s="270" t="s">
        <v>814</v>
      </c>
      <c r="D49" s="225">
        <f>Просчет!B241</f>
        <v>0</v>
      </c>
      <c r="E49" s="225" t="str">
        <f>Просчет!C241</f>
        <v>м3</v>
      </c>
      <c r="F49" s="225">
        <v>1680</v>
      </c>
      <c r="G49" s="208">
        <f t="shared" si="2"/>
        <v>739.2</v>
      </c>
      <c r="H49" s="209">
        <f t="shared" si="3"/>
        <v>0</v>
      </c>
    </row>
    <row r="50" spans="1:13" ht="15.75" thickBot="1" x14ac:dyDescent="0.3">
      <c r="A50" s="308"/>
      <c r="B50" s="284" t="s">
        <v>911</v>
      </c>
      <c r="C50" s="272" t="str">
        <f>Просчет!A242</f>
        <v>Пенополистерол 1180х580х50мм</v>
      </c>
      <c r="D50" s="239">
        <f>1.2*0.6*0.05*Просчет!B242</f>
        <v>0</v>
      </c>
      <c r="E50" s="239" t="s">
        <v>1</v>
      </c>
      <c r="F50" s="239">
        <v>4862</v>
      </c>
      <c r="G50" s="226">
        <f t="shared" si="2"/>
        <v>2139.2800000000002</v>
      </c>
      <c r="H50" s="235">
        <f t="shared" si="3"/>
        <v>0</v>
      </c>
    </row>
    <row r="51" spans="1:13" s="65" customFormat="1" ht="15.75" thickBot="1" x14ac:dyDescent="0.3">
      <c r="A51" s="353">
        <f>A46+1</f>
        <v>6</v>
      </c>
      <c r="B51" s="615" t="s">
        <v>912</v>
      </c>
      <c r="C51" s="615"/>
      <c r="D51" s="615"/>
      <c r="E51" s="615"/>
      <c r="F51" s="615"/>
      <c r="G51" s="615"/>
      <c r="H51" s="616"/>
      <c r="J51" s="301"/>
    </row>
    <row r="52" spans="1:13" ht="30" x14ac:dyDescent="0.25">
      <c r="A52" s="308"/>
      <c r="B52" s="284" t="s">
        <v>913</v>
      </c>
      <c r="C52" s="238" t="str">
        <f>Просчет!A118</f>
        <v>Террасная доска 112х24 - 6м, Сорт АВ</v>
      </c>
      <c r="D52" s="240">
        <f>Просчет!B118</f>
        <v>0</v>
      </c>
      <c r="E52" s="238" t="str">
        <f>Просчет!C118</f>
        <v>м2</v>
      </c>
      <c r="F52" s="225">
        <v>525</v>
      </c>
      <c r="G52" s="240">
        <f t="shared" si="2"/>
        <v>231.00000000000003</v>
      </c>
      <c r="H52" s="241">
        <f t="shared" si="3"/>
        <v>0</v>
      </c>
      <c r="J52" s="190"/>
      <c r="K52" s="65"/>
      <c r="L52" s="65"/>
      <c r="M52" s="65"/>
    </row>
    <row r="53" spans="1:13" x14ac:dyDescent="0.25">
      <c r="A53" s="308"/>
      <c r="B53" s="281" t="s">
        <v>914</v>
      </c>
      <c r="C53" s="238" t="str">
        <f>Просчет!A119</f>
        <v>Калибровка 140х35- 6м</v>
      </c>
      <c r="D53" s="240">
        <f>Просчет!B119</f>
        <v>0</v>
      </c>
      <c r="E53" s="238" t="str">
        <f>Просчет!C119</f>
        <v>шт</v>
      </c>
      <c r="F53" s="225">
        <v>625</v>
      </c>
      <c r="G53" s="208">
        <f t="shared" si="2"/>
        <v>275</v>
      </c>
      <c r="H53" s="209">
        <f t="shared" si="3"/>
        <v>0</v>
      </c>
      <c r="J53" s="190"/>
      <c r="K53" s="65"/>
      <c r="L53" s="65"/>
      <c r="M53" s="65"/>
    </row>
    <row r="54" spans="1:13" x14ac:dyDescent="0.25">
      <c r="A54" s="308"/>
      <c r="B54" s="281" t="s">
        <v>915</v>
      </c>
      <c r="C54" s="238" t="str">
        <f>Просчет!A120</f>
        <v>Шпунтовка 90х26 - 6м, Сорт АВ</v>
      </c>
      <c r="D54" s="240">
        <f>Просчет!B120</f>
        <v>0</v>
      </c>
      <c r="E54" s="238" t="str">
        <f>Просчет!C120</f>
        <v>м2</v>
      </c>
      <c r="F54" s="225">
        <v>525</v>
      </c>
      <c r="G54" s="208">
        <f t="shared" si="2"/>
        <v>231.00000000000003</v>
      </c>
      <c r="H54" s="209">
        <f t="shared" si="3"/>
        <v>0</v>
      </c>
      <c r="J54" s="190"/>
      <c r="K54" s="65"/>
      <c r="L54" s="65"/>
      <c r="M54" s="65"/>
    </row>
    <row r="55" spans="1:13" x14ac:dyDescent="0.25">
      <c r="A55" s="308"/>
      <c r="B55" s="281" t="s">
        <v>915</v>
      </c>
      <c r="C55" s="238" t="str">
        <f>Просчет!A121</f>
        <v>Шпунтовка 135х35 - 6м, Сорт АВ</v>
      </c>
      <c r="D55" s="240">
        <f>Просчет!B121</f>
        <v>0</v>
      </c>
      <c r="E55" s="238" t="str">
        <f>Просчет!C121</f>
        <v>м2</v>
      </c>
      <c r="F55" s="225">
        <v>700</v>
      </c>
      <c r="G55" s="208">
        <f t="shared" si="2"/>
        <v>308</v>
      </c>
      <c r="H55" s="209">
        <f t="shared" si="3"/>
        <v>0</v>
      </c>
      <c r="J55" s="190"/>
      <c r="K55" s="65"/>
      <c r="L55" s="65"/>
      <c r="M55" s="65"/>
    </row>
    <row r="56" spans="1:13" x14ac:dyDescent="0.25">
      <c r="A56" s="308"/>
      <c r="B56" s="281" t="s">
        <v>916</v>
      </c>
      <c r="C56" s="238" t="str">
        <f>Просчет!A122</f>
        <v>ОСБ-3 9мм</v>
      </c>
      <c r="D56" s="240">
        <f>Просчет!B122</f>
        <v>0</v>
      </c>
      <c r="E56" s="238" t="str">
        <f>Просчет!C122</f>
        <v>шт</v>
      </c>
      <c r="F56" s="225">
        <v>813</v>
      </c>
      <c r="G56" s="208">
        <f t="shared" si="2"/>
        <v>357.72</v>
      </c>
      <c r="H56" s="209">
        <f t="shared" si="3"/>
        <v>0</v>
      </c>
      <c r="J56" s="190"/>
      <c r="K56" s="65"/>
      <c r="L56" s="65"/>
      <c r="M56" s="65"/>
    </row>
    <row r="57" spans="1:13" x14ac:dyDescent="0.25">
      <c r="A57" s="308"/>
      <c r="B57" s="281" t="s">
        <v>916</v>
      </c>
      <c r="C57" s="238" t="str">
        <f>Просчет!A123</f>
        <v>ОСБ-3 12мм</v>
      </c>
      <c r="D57" s="240">
        <f>Просчет!B123</f>
        <v>0</v>
      </c>
      <c r="E57" s="238" t="str">
        <f>Просчет!C123</f>
        <v>шт</v>
      </c>
      <c r="F57" s="225">
        <v>1063</v>
      </c>
      <c r="G57" s="208">
        <f t="shared" si="2"/>
        <v>467.72</v>
      </c>
      <c r="H57" s="209">
        <f t="shared" si="3"/>
        <v>0</v>
      </c>
      <c r="J57" s="301"/>
      <c r="K57" s="65"/>
      <c r="L57" s="65"/>
      <c r="M57" s="65"/>
    </row>
    <row r="58" spans="1:13" x14ac:dyDescent="0.25">
      <c r="A58" s="308"/>
      <c r="B58" s="281" t="s">
        <v>919</v>
      </c>
      <c r="C58" s="238" t="str">
        <f>Просчет!A124</f>
        <v>Фанера 12</v>
      </c>
      <c r="D58" s="240">
        <f>Просчет!B124</f>
        <v>0</v>
      </c>
      <c r="E58" s="238" t="str">
        <f>Просчет!C124</f>
        <v>шт</v>
      </c>
      <c r="F58" s="225">
        <v>1088</v>
      </c>
      <c r="G58" s="208">
        <f t="shared" si="2"/>
        <v>478.72</v>
      </c>
      <c r="H58" s="209">
        <f t="shared" si="3"/>
        <v>0</v>
      </c>
      <c r="J58" s="301"/>
      <c r="K58" s="65"/>
      <c r="L58" s="65"/>
      <c r="M58" s="65"/>
    </row>
    <row r="59" spans="1:13" x14ac:dyDescent="0.25">
      <c r="A59" s="308"/>
      <c r="B59" s="281" t="s">
        <v>917</v>
      </c>
      <c r="C59" s="238" t="str">
        <f>Просчет!A125</f>
        <v>ЦСП 10</v>
      </c>
      <c r="D59" s="240">
        <f>Просчет!B125</f>
        <v>0</v>
      </c>
      <c r="E59" s="238" t="str">
        <f>Просчет!C125</f>
        <v>шт</v>
      </c>
      <c r="F59" s="225">
        <v>1150</v>
      </c>
      <c r="G59" s="208">
        <f t="shared" si="2"/>
        <v>506.00000000000006</v>
      </c>
      <c r="H59" s="209">
        <f t="shared" si="3"/>
        <v>0</v>
      </c>
      <c r="J59" s="298"/>
      <c r="K59" s="65"/>
      <c r="L59" s="65"/>
      <c r="M59" s="65"/>
    </row>
    <row r="60" spans="1:13" x14ac:dyDescent="0.25">
      <c r="A60" s="308"/>
      <c r="B60" s="281" t="s">
        <v>917</v>
      </c>
      <c r="C60" s="238" t="str">
        <f>Просчет!A126</f>
        <v>ЦСП 12</v>
      </c>
      <c r="D60" s="240">
        <f>Просчет!B126</f>
        <v>0</v>
      </c>
      <c r="E60" s="238" t="str">
        <f>Просчет!C126</f>
        <v>шт</v>
      </c>
      <c r="F60" s="225">
        <v>1438</v>
      </c>
      <c r="G60" s="208">
        <f t="shared" si="2"/>
        <v>632.72000000000014</v>
      </c>
      <c r="H60" s="209">
        <f t="shared" si="3"/>
        <v>0</v>
      </c>
      <c r="J60" s="298"/>
      <c r="K60" s="65"/>
      <c r="L60" s="65"/>
      <c r="M60" s="65"/>
    </row>
    <row r="61" spans="1:13" x14ac:dyDescent="0.25">
      <c r="A61" s="308"/>
      <c r="B61" s="281" t="s">
        <v>920</v>
      </c>
      <c r="C61" s="238" t="str">
        <f>Просчет!A127</f>
        <v>Гипрок Стронг 15мм</v>
      </c>
      <c r="D61" s="240">
        <f>Просчет!B127</f>
        <v>25</v>
      </c>
      <c r="E61" s="238" t="str">
        <f>Просчет!C127</f>
        <v>шт</v>
      </c>
      <c r="F61" s="225">
        <v>450</v>
      </c>
      <c r="G61" s="208">
        <f t="shared" si="2"/>
        <v>198.00000000000003</v>
      </c>
      <c r="H61" s="209">
        <f t="shared" si="3"/>
        <v>16200</v>
      </c>
      <c r="J61" s="298"/>
      <c r="K61" s="65"/>
      <c r="L61" s="65"/>
      <c r="M61" s="65"/>
    </row>
    <row r="62" spans="1:13" x14ac:dyDescent="0.25">
      <c r="A62" s="308"/>
      <c r="B62" s="281" t="s">
        <v>922</v>
      </c>
      <c r="C62" s="238" t="str">
        <f>Просчет!A128</f>
        <v>Гипрок Стронг Аква 15мм</v>
      </c>
      <c r="D62" s="240">
        <f>Просчет!B128</f>
        <v>0</v>
      </c>
      <c r="E62" s="238" t="str">
        <f>Просчет!C128</f>
        <v>шт</v>
      </c>
      <c r="F62" s="225">
        <v>488</v>
      </c>
      <c r="G62" s="208">
        <f t="shared" si="2"/>
        <v>214.72</v>
      </c>
      <c r="H62" s="209">
        <f t="shared" si="3"/>
        <v>0</v>
      </c>
      <c r="J62" s="298"/>
      <c r="K62" s="65"/>
      <c r="L62" s="65"/>
      <c r="M62" s="65"/>
    </row>
    <row r="63" spans="1:13" x14ac:dyDescent="0.25">
      <c r="A63" s="308"/>
      <c r="B63" s="281" t="s">
        <v>921</v>
      </c>
      <c r="C63" s="238" t="str">
        <f>Просчет!A129</f>
        <v>GTS, 9,5мм</v>
      </c>
      <c r="D63" s="240">
        <f>Просчет!B129</f>
        <v>0</v>
      </c>
      <c r="E63" s="238" t="str">
        <f>Просчет!C129</f>
        <v>шт</v>
      </c>
      <c r="F63" s="225">
        <v>338</v>
      </c>
      <c r="G63" s="208">
        <f t="shared" si="2"/>
        <v>148.72</v>
      </c>
      <c r="H63" s="209">
        <f t="shared" si="3"/>
        <v>0</v>
      </c>
      <c r="J63" s="298"/>
      <c r="K63" s="65"/>
      <c r="L63" s="65"/>
      <c r="M63" s="65"/>
    </row>
    <row r="64" spans="1:13" x14ac:dyDescent="0.25">
      <c r="A64" s="308"/>
      <c r="B64" s="281" t="s">
        <v>923</v>
      </c>
      <c r="C64" s="238" t="str">
        <f>Просчет!A130</f>
        <v>Гипрок Лайт Аква 9,5мм</v>
      </c>
      <c r="D64" s="240">
        <f>Просчет!B130</f>
        <v>0</v>
      </c>
      <c r="E64" s="238" t="str">
        <f>Просчет!C130</f>
        <v>шт</v>
      </c>
      <c r="F64" s="225">
        <v>375</v>
      </c>
      <c r="G64" s="208">
        <f t="shared" si="2"/>
        <v>165</v>
      </c>
      <c r="H64" s="209">
        <f t="shared" si="3"/>
        <v>0</v>
      </c>
      <c r="J64" s="298"/>
      <c r="K64" s="65"/>
      <c r="L64" s="65"/>
      <c r="M64" s="65"/>
    </row>
    <row r="65" spans="1:13" x14ac:dyDescent="0.25">
      <c r="A65" s="308"/>
      <c r="B65" s="281" t="s">
        <v>925</v>
      </c>
      <c r="C65" s="238" t="str">
        <f>Просчет!A131</f>
        <v>Сайдинг Docke Lux Блок-Хаус</v>
      </c>
      <c r="D65" s="240">
        <f>Просчет!B131</f>
        <v>0</v>
      </c>
      <c r="E65" s="238" t="str">
        <f>Просчет!C131</f>
        <v>м2</v>
      </c>
      <c r="F65" s="251"/>
      <c r="G65" s="208">
        <f t="shared" si="2"/>
        <v>0</v>
      </c>
      <c r="H65" s="209">
        <f t="shared" si="3"/>
        <v>0</v>
      </c>
      <c r="J65" s="298"/>
      <c r="K65" s="65"/>
      <c r="L65" s="65"/>
      <c r="M65" s="65"/>
    </row>
    <row r="66" spans="1:13" ht="30" x14ac:dyDescent="0.25">
      <c r="A66" s="308"/>
      <c r="B66" s="281" t="s">
        <v>924</v>
      </c>
      <c r="C66" s="238" t="str">
        <f>Просчет!A132</f>
        <v>Панель Vox Solid Brick Regular (цвет - York)</v>
      </c>
      <c r="D66" s="240">
        <f>Просчет!B132</f>
        <v>0</v>
      </c>
      <c r="E66" s="238" t="str">
        <f>Просчет!C132</f>
        <v>м2</v>
      </c>
      <c r="F66" s="251"/>
      <c r="G66" s="208">
        <f t="shared" si="2"/>
        <v>0</v>
      </c>
      <c r="H66" s="209">
        <f t="shared" si="3"/>
        <v>0</v>
      </c>
      <c r="J66" s="298"/>
      <c r="K66" s="65"/>
      <c r="L66" s="65"/>
      <c r="M66" s="65"/>
    </row>
    <row r="67" spans="1:13" ht="30" x14ac:dyDescent="0.25">
      <c r="A67" s="308"/>
      <c r="B67" s="281" t="s">
        <v>918</v>
      </c>
      <c r="C67" s="238" t="str">
        <f>Просчет!A133</f>
        <v>HAUBERK ТЕХНОНИКОЛЬ Терракотовый кирпич</v>
      </c>
      <c r="D67" s="240">
        <f>Просчет!B133</f>
        <v>0</v>
      </c>
      <c r="E67" s="238" t="str">
        <f>Просчет!C133</f>
        <v>м2</v>
      </c>
      <c r="F67" s="251"/>
      <c r="G67" s="208">
        <f t="shared" si="2"/>
        <v>0</v>
      </c>
      <c r="H67" s="209">
        <f t="shared" si="3"/>
        <v>0</v>
      </c>
      <c r="J67" s="298"/>
      <c r="K67" s="65"/>
      <c r="L67" s="65"/>
      <c r="M67" s="65"/>
    </row>
    <row r="68" spans="1:13" ht="30" x14ac:dyDescent="0.25">
      <c r="A68" s="308"/>
      <c r="B68" s="281" t="s">
        <v>927</v>
      </c>
      <c r="C68" s="238" t="str">
        <f>Просчет!A135</f>
        <v>Вагонка 90х12,5 - 6м, Сорт АВ (внутренняя отделка)</v>
      </c>
      <c r="D68" s="240">
        <f>Просчет!B135</f>
        <v>0</v>
      </c>
      <c r="E68" s="238" t="str">
        <f>Просчет!C135</f>
        <v>м2</v>
      </c>
      <c r="F68" s="240">
        <v>275</v>
      </c>
      <c r="G68" s="208">
        <f t="shared" si="2"/>
        <v>121.00000000000001</v>
      </c>
      <c r="H68" s="209">
        <f t="shared" si="3"/>
        <v>0</v>
      </c>
      <c r="J68" s="298"/>
      <c r="K68" s="65"/>
      <c r="L68" s="65"/>
      <c r="M68" s="65"/>
    </row>
    <row r="69" spans="1:13" ht="30" x14ac:dyDescent="0.25">
      <c r="A69" s="308"/>
      <c r="B69" s="281" t="s">
        <v>926</v>
      </c>
      <c r="C69" s="238" t="str">
        <f>Просчет!A138</f>
        <v>Планкен 145х19- 6м, Сорт АВ (наружная отделка)</v>
      </c>
      <c r="D69" s="240">
        <f>Просчет!B138</f>
        <v>141</v>
      </c>
      <c r="E69" s="238" t="str">
        <f>Просчет!C138</f>
        <v>м2</v>
      </c>
      <c r="F69" s="285">
        <v>450</v>
      </c>
      <c r="G69" s="208">
        <f t="shared" si="2"/>
        <v>198.00000000000003</v>
      </c>
      <c r="H69" s="209">
        <f t="shared" si="3"/>
        <v>91368</v>
      </c>
      <c r="J69" s="298"/>
      <c r="K69" s="65"/>
      <c r="L69" s="65"/>
      <c r="M69" s="65"/>
    </row>
    <row r="70" spans="1:13" ht="30" x14ac:dyDescent="0.25">
      <c r="A70" s="308"/>
      <c r="B70" s="281" t="s">
        <v>926</v>
      </c>
      <c r="C70" s="238" t="str">
        <f>Просчет!A139</f>
        <v>Рау-хаус 135х16- 6м, Сорт АВ (внутренняя отделка)</v>
      </c>
      <c r="D70" s="240">
        <f>Просчет!B139</f>
        <v>0</v>
      </c>
      <c r="E70" s="238" t="str">
        <f>Просчет!C139</f>
        <v>м2</v>
      </c>
      <c r="F70" s="285">
        <v>450</v>
      </c>
      <c r="G70" s="208">
        <f t="shared" si="2"/>
        <v>198.00000000000003</v>
      </c>
      <c r="H70" s="209">
        <f t="shared" si="3"/>
        <v>0</v>
      </c>
      <c r="J70" s="300"/>
      <c r="K70" s="65"/>
      <c r="L70" s="65"/>
      <c r="M70" s="65"/>
    </row>
    <row r="71" spans="1:13" x14ac:dyDescent="0.25">
      <c r="A71" s="308"/>
      <c r="B71" s="281" t="s">
        <v>926</v>
      </c>
      <c r="C71" s="238" t="str">
        <f>Просчет!A140</f>
        <v>Рау-хаус 185х21- 6м, Сорт АВ</v>
      </c>
      <c r="D71" s="240">
        <f>Просчет!B140</f>
        <v>0</v>
      </c>
      <c r="E71" s="238" t="str">
        <f>Просчет!C140</f>
        <v>м2</v>
      </c>
      <c r="F71" s="225">
        <v>500</v>
      </c>
      <c r="G71" s="208">
        <f t="shared" si="2"/>
        <v>220.00000000000003</v>
      </c>
      <c r="H71" s="209">
        <f t="shared" si="3"/>
        <v>0</v>
      </c>
      <c r="J71" s="298"/>
      <c r="K71" s="65"/>
      <c r="L71" s="65"/>
      <c r="M71" s="65"/>
    </row>
    <row r="72" spans="1:13" ht="30" x14ac:dyDescent="0.25">
      <c r="A72" s="308"/>
      <c r="B72" s="281" t="s">
        <v>926</v>
      </c>
      <c r="C72" s="238" t="str">
        <f>Просчет!A141</f>
        <v>Рау-хаус 110х16- 6м, Сорт АВ (наружная отделка)</v>
      </c>
      <c r="D72" s="240">
        <f>Просчет!B141</f>
        <v>0</v>
      </c>
      <c r="E72" s="238" t="str">
        <f>Просчет!C141</f>
        <v>м2</v>
      </c>
      <c r="F72" s="225">
        <v>450</v>
      </c>
      <c r="G72" s="208">
        <f t="shared" si="2"/>
        <v>198.00000000000003</v>
      </c>
      <c r="H72" s="209">
        <f t="shared" si="3"/>
        <v>0</v>
      </c>
      <c r="J72" s="298"/>
      <c r="K72" s="65"/>
      <c r="L72" s="65"/>
      <c r="M72" s="65"/>
    </row>
    <row r="73" spans="1:13" ht="30" x14ac:dyDescent="0.25">
      <c r="A73" s="308"/>
      <c r="B73" s="281" t="s">
        <v>926</v>
      </c>
      <c r="C73" s="238" t="str">
        <f>Просчет!A142</f>
        <v>Рау-хаус 110х16- 6м, Сорт АВ (внутренняя отделка)</v>
      </c>
      <c r="D73" s="240">
        <f>Просчет!B142</f>
        <v>0</v>
      </c>
      <c r="E73" s="238" t="str">
        <f>Просчет!C142</f>
        <v>м2</v>
      </c>
      <c r="F73" s="225">
        <v>450</v>
      </c>
      <c r="G73" s="208">
        <f t="shared" si="2"/>
        <v>198.00000000000003</v>
      </c>
      <c r="H73" s="209">
        <f t="shared" si="3"/>
        <v>0</v>
      </c>
      <c r="J73" s="298"/>
      <c r="K73" s="65"/>
      <c r="L73" s="65"/>
      <c r="M73" s="65"/>
    </row>
    <row r="74" spans="1:13" x14ac:dyDescent="0.25">
      <c r="A74" s="308"/>
      <c r="B74" s="281" t="s">
        <v>928</v>
      </c>
      <c r="C74" s="238" t="str">
        <f>Просчет!A143</f>
        <v>Финский профиль, С (0,135)</v>
      </c>
      <c r="D74" s="240">
        <f>Просчет!B143</f>
        <v>0</v>
      </c>
      <c r="E74" s="238" t="str">
        <f>Просчет!C143</f>
        <v>м2</v>
      </c>
      <c r="F74" s="252"/>
      <c r="G74" s="208">
        <f t="shared" si="2"/>
        <v>0</v>
      </c>
      <c r="H74" s="209">
        <f t="shared" si="3"/>
        <v>0</v>
      </c>
      <c r="J74" s="298"/>
      <c r="K74" s="65"/>
      <c r="L74" s="65"/>
      <c r="M74" s="65"/>
    </row>
    <row r="75" spans="1:13" x14ac:dyDescent="0.25">
      <c r="A75" s="308"/>
      <c r="B75" s="281" t="s">
        <v>929</v>
      </c>
      <c r="C75" s="238" t="str">
        <f>Просчет!A144</f>
        <v>Блок-хаус, АВ (0,135)</v>
      </c>
      <c r="D75" s="240">
        <f>Просчет!B144</f>
        <v>0</v>
      </c>
      <c r="E75" s="238" t="str">
        <f>Просчет!C144</f>
        <v>м2</v>
      </c>
      <c r="F75" s="225">
        <v>688</v>
      </c>
      <c r="G75" s="208">
        <f t="shared" si="2"/>
        <v>302.72000000000003</v>
      </c>
      <c r="H75" s="209">
        <f t="shared" si="3"/>
        <v>0</v>
      </c>
      <c r="J75" s="298"/>
      <c r="K75" s="65"/>
      <c r="L75" s="65"/>
      <c r="M75" s="65"/>
    </row>
    <row r="76" spans="1:13" x14ac:dyDescent="0.25">
      <c r="A76" s="308"/>
      <c r="B76" s="281" t="s">
        <v>929</v>
      </c>
      <c r="C76" s="238" t="str">
        <f>Просчет!A145</f>
        <v>Блок-хаус, С (0,135)</v>
      </c>
      <c r="D76" s="240">
        <f>Просчет!B145</f>
        <v>0</v>
      </c>
      <c r="E76" s="238" t="str">
        <f>Просчет!C145</f>
        <v>м2</v>
      </c>
      <c r="F76" s="225">
        <v>688</v>
      </c>
      <c r="G76" s="208">
        <f t="shared" si="2"/>
        <v>302.72000000000003</v>
      </c>
      <c r="H76" s="209">
        <f t="shared" si="3"/>
        <v>0</v>
      </c>
      <c r="J76" s="298"/>
      <c r="K76" s="65"/>
      <c r="L76" s="65"/>
      <c r="M76" s="65"/>
    </row>
    <row r="77" spans="1:13" x14ac:dyDescent="0.25">
      <c r="A77" s="308"/>
      <c r="B77" s="402" t="str">
        <f>Просчет!A146</f>
        <v>Укладка плитки Заказчика</v>
      </c>
      <c r="C77" s="401"/>
      <c r="D77" s="403">
        <f>Просчет!B146</f>
        <v>0</v>
      </c>
      <c r="E77" s="401" t="str">
        <f>Просчет!C146</f>
        <v>компл.</v>
      </c>
      <c r="F77" s="256">
        <v>0</v>
      </c>
      <c r="G77" s="208">
        <f t="shared" si="2"/>
        <v>0</v>
      </c>
      <c r="H77" s="209">
        <f t="shared" si="3"/>
        <v>0</v>
      </c>
      <c r="J77" s="298"/>
      <c r="K77" s="65"/>
      <c r="L77" s="65"/>
      <c r="M77" s="65"/>
    </row>
    <row r="78" spans="1:13" x14ac:dyDescent="0.25">
      <c r="A78" s="308"/>
      <c r="B78" s="402" t="str">
        <f>Просчет!A147</f>
        <v>Укладка ламината Заказчика</v>
      </c>
      <c r="C78" s="401"/>
      <c r="D78" s="403">
        <f>Просчет!B147</f>
        <v>0</v>
      </c>
      <c r="E78" s="401" t="str">
        <f>Просчет!C147</f>
        <v>компл.</v>
      </c>
      <c r="F78" s="256">
        <v>0</v>
      </c>
      <c r="G78" s="208">
        <f t="shared" si="2"/>
        <v>0</v>
      </c>
      <c r="H78" s="209">
        <f t="shared" si="3"/>
        <v>0</v>
      </c>
      <c r="J78" s="298"/>
      <c r="K78" s="65"/>
      <c r="L78" s="65"/>
      <c r="M78" s="65"/>
    </row>
    <row r="79" spans="1:13" x14ac:dyDescent="0.25">
      <c r="A79" s="308"/>
      <c r="B79" s="402" t="str">
        <f>Просчет!A148</f>
        <v>Монтаж обоев Заказчика</v>
      </c>
      <c r="C79" s="401"/>
      <c r="D79" s="403">
        <f>Просчет!B148</f>
        <v>0</v>
      </c>
      <c r="E79" s="401" t="str">
        <f>Просчет!C148</f>
        <v>компл.</v>
      </c>
      <c r="F79" s="256">
        <v>0</v>
      </c>
      <c r="G79" s="208">
        <f t="shared" si="2"/>
        <v>0</v>
      </c>
      <c r="H79" s="209">
        <f t="shared" si="3"/>
        <v>0</v>
      </c>
      <c r="J79" s="298"/>
      <c r="K79" s="65"/>
      <c r="L79" s="65"/>
      <c r="M79" s="65"/>
    </row>
    <row r="80" spans="1:13" ht="30" x14ac:dyDescent="0.25">
      <c r="A80" s="308"/>
      <c r="B80" s="281" t="s">
        <v>930</v>
      </c>
      <c r="C80" s="238" t="str">
        <f>Просчет!A149</f>
        <v>Натяжной потолок (белый, матовый)</v>
      </c>
      <c r="D80" s="240">
        <f>Просчет!B149</f>
        <v>0</v>
      </c>
      <c r="E80" s="238" t="str">
        <f>Просчет!C149</f>
        <v>м2</v>
      </c>
      <c r="F80" s="249"/>
      <c r="G80" s="208">
        <f t="shared" si="2"/>
        <v>0</v>
      </c>
      <c r="H80" s="209">
        <f t="shared" si="3"/>
        <v>0</v>
      </c>
      <c r="J80" s="298"/>
      <c r="K80" s="65"/>
      <c r="L80" s="65"/>
      <c r="M80" s="65"/>
    </row>
    <row r="81" spans="1:13" x14ac:dyDescent="0.25">
      <c r="A81" s="308"/>
      <c r="B81" s="281" t="s">
        <v>927</v>
      </c>
      <c r="C81" s="208" t="str">
        <f>Просчет!A267</f>
        <v>Вагонка осина 90х12,5 - 2м</v>
      </c>
      <c r="D81" s="208">
        <f>Просчет!B267</f>
        <v>0</v>
      </c>
      <c r="E81" s="208" t="str">
        <f>Просчет!C267</f>
        <v>м2</v>
      </c>
      <c r="F81" s="225">
        <v>438</v>
      </c>
      <c r="G81" s="208">
        <f t="shared" si="2"/>
        <v>192.72</v>
      </c>
      <c r="H81" s="209">
        <f t="shared" si="3"/>
        <v>0</v>
      </c>
      <c r="J81" s="298"/>
      <c r="K81" s="65"/>
      <c r="L81" s="65"/>
      <c r="M81" s="65"/>
    </row>
    <row r="82" spans="1:13" x14ac:dyDescent="0.25">
      <c r="A82" s="308"/>
      <c r="B82" s="281" t="s">
        <v>927</v>
      </c>
      <c r="C82" s="208" t="str">
        <f>Просчет!A268</f>
        <v>Вагонка липа 90х12,5 - 2м</v>
      </c>
      <c r="D82" s="208">
        <f>Просчет!B268</f>
        <v>0</v>
      </c>
      <c r="E82" s="208" t="str">
        <f>Просчет!C268</f>
        <v>м2</v>
      </c>
      <c r="F82" s="225">
        <v>625</v>
      </c>
      <c r="G82" s="208">
        <f t="shared" si="2"/>
        <v>275</v>
      </c>
      <c r="H82" s="209">
        <f t="shared" si="3"/>
        <v>0</v>
      </c>
      <c r="J82" s="298"/>
      <c r="K82" s="65"/>
      <c r="L82" s="65"/>
      <c r="M82" s="65"/>
    </row>
    <row r="83" spans="1:13" x14ac:dyDescent="0.25">
      <c r="A83" s="308"/>
      <c r="B83" s="281" t="s">
        <v>931</v>
      </c>
      <c r="C83" s="270" t="str">
        <f>Просчет!A287</f>
        <v>Петли для двери на чердак</v>
      </c>
      <c r="D83" s="208">
        <f>Просчет!B287</f>
        <v>0</v>
      </c>
      <c r="E83" s="270" t="str">
        <f>Просчет!C287</f>
        <v>шт</v>
      </c>
      <c r="F83" s="208">
        <v>250</v>
      </c>
      <c r="G83" s="208">
        <f t="shared" si="2"/>
        <v>110.00000000000001</v>
      </c>
      <c r="H83" s="209">
        <f t="shared" si="3"/>
        <v>0</v>
      </c>
      <c r="J83" s="298"/>
      <c r="K83" s="65"/>
      <c r="L83" s="65"/>
      <c r="M83" s="65"/>
    </row>
    <row r="84" spans="1:13" ht="15.75" thickBot="1" x14ac:dyDescent="0.3">
      <c r="A84" s="308"/>
      <c r="B84" s="282" t="s">
        <v>931</v>
      </c>
      <c r="C84" s="272" t="str">
        <f>Просчет!A288</f>
        <v>Петли для люка</v>
      </c>
      <c r="D84" s="226">
        <f>Просчет!B288</f>
        <v>0</v>
      </c>
      <c r="E84" s="272" t="str">
        <f>Просчет!C288</f>
        <v>шт</v>
      </c>
      <c r="F84" s="226">
        <v>250</v>
      </c>
      <c r="G84" s="226">
        <f t="shared" si="2"/>
        <v>110.00000000000001</v>
      </c>
      <c r="H84" s="235">
        <f t="shared" si="3"/>
        <v>0</v>
      </c>
      <c r="J84" s="298"/>
      <c r="K84" s="65"/>
      <c r="L84" s="65"/>
      <c r="M84" s="65"/>
    </row>
    <row r="85" spans="1:13" s="16" customFormat="1" ht="15.75" thickBot="1" x14ac:dyDescent="0.3">
      <c r="A85" s="353">
        <f>A51+1</f>
        <v>7</v>
      </c>
      <c r="B85" s="612" t="s">
        <v>8</v>
      </c>
      <c r="C85" s="613"/>
      <c r="D85" s="613"/>
      <c r="E85" s="613"/>
      <c r="F85" s="613"/>
      <c r="G85" s="613"/>
      <c r="H85" s="614"/>
      <c r="J85" s="301"/>
    </row>
    <row r="86" spans="1:13" ht="15.75" thickBot="1" x14ac:dyDescent="0.3">
      <c r="A86" s="308"/>
      <c r="B86" s="245" t="s">
        <v>820</v>
      </c>
      <c r="C86" s="404" t="s">
        <v>932</v>
      </c>
      <c r="D86" s="262">
        <f>Просчет!B151</f>
        <v>0</v>
      </c>
      <c r="E86" s="262" t="s">
        <v>722</v>
      </c>
      <c r="F86" s="263"/>
      <c r="G86" s="264">
        <f t="shared" ref="G86:G121" si="4">F86/1.25*0.55</f>
        <v>0</v>
      </c>
      <c r="H86" s="265">
        <f t="shared" ref="H86:H121" si="5">(F86+G86)*D86</f>
        <v>0</v>
      </c>
    </row>
    <row r="87" spans="1:13" s="65" customFormat="1" ht="15.75" thickBot="1" x14ac:dyDescent="0.3">
      <c r="A87" s="353">
        <f>A85+1</f>
        <v>8</v>
      </c>
      <c r="B87" s="615" t="s">
        <v>240</v>
      </c>
      <c r="C87" s="615"/>
      <c r="D87" s="615"/>
      <c r="E87" s="615"/>
      <c r="F87" s="615"/>
      <c r="G87" s="615"/>
      <c r="H87" s="616"/>
      <c r="J87" s="298"/>
    </row>
    <row r="88" spans="1:13" ht="30" x14ac:dyDescent="0.25">
      <c r="A88" s="308"/>
      <c r="B88" s="284" t="s">
        <v>879</v>
      </c>
      <c r="C88" s="238" t="str">
        <f>Просчет!A152</f>
        <v>Двери МДФ, белые(полот., пет, ручки, обн. кор.)</v>
      </c>
      <c r="D88" s="240">
        <f>Просчет!B152</f>
        <v>0</v>
      </c>
      <c r="E88" s="240" t="str">
        <f>Просчет!C152</f>
        <v>шт</v>
      </c>
      <c r="F88" s="286"/>
      <c r="G88" s="240">
        <f t="shared" si="4"/>
        <v>0</v>
      </c>
      <c r="H88" s="241">
        <f t="shared" si="5"/>
        <v>0</v>
      </c>
    </row>
    <row r="89" spans="1:13" ht="30" x14ac:dyDescent="0.25">
      <c r="A89" s="308"/>
      <c r="B89" s="281" t="s">
        <v>879</v>
      </c>
      <c r="C89" s="270" t="str">
        <f>Просчет!A153</f>
        <v>Дверь межкомнатные Браво с фурнитурой</v>
      </c>
      <c r="D89" s="208">
        <f>Просчет!B153</f>
        <v>0</v>
      </c>
      <c r="E89" s="208" t="str">
        <f>Просчет!C153</f>
        <v>шт</v>
      </c>
      <c r="F89" s="251"/>
      <c r="G89" s="208">
        <f t="shared" si="4"/>
        <v>0</v>
      </c>
      <c r="H89" s="209">
        <f t="shared" si="5"/>
        <v>0</v>
      </c>
    </row>
    <row r="90" spans="1:13" x14ac:dyDescent="0.25">
      <c r="A90" s="308"/>
      <c r="B90" s="281" t="s">
        <v>879</v>
      </c>
      <c r="C90" s="270" t="str">
        <f>Просчет!A154</f>
        <v>Дверь филенчатая 60 см (компл.)</v>
      </c>
      <c r="D90" s="208">
        <f>Просчет!B154</f>
        <v>0</v>
      </c>
      <c r="E90" s="208" t="str">
        <f>Просчет!C154</f>
        <v>шт</v>
      </c>
      <c r="F90" s="225">
        <v>3000</v>
      </c>
      <c r="G90" s="208">
        <f t="shared" si="4"/>
        <v>1320</v>
      </c>
      <c r="H90" s="209">
        <f t="shared" si="5"/>
        <v>0</v>
      </c>
    </row>
    <row r="91" spans="1:13" x14ac:dyDescent="0.25">
      <c r="A91" s="308"/>
      <c r="B91" s="281" t="s">
        <v>879</v>
      </c>
      <c r="C91" s="270" t="str">
        <f>Просчет!A155</f>
        <v>Дверь филенчатая 70 см (компл.)</v>
      </c>
      <c r="D91" s="208">
        <f>Просчет!B155</f>
        <v>0</v>
      </c>
      <c r="E91" s="208" t="str">
        <f>Просчет!C155</f>
        <v>шт</v>
      </c>
      <c r="F91" s="225">
        <v>3000</v>
      </c>
      <c r="G91" s="208">
        <f t="shared" si="4"/>
        <v>1320</v>
      </c>
      <c r="H91" s="209">
        <f t="shared" si="5"/>
        <v>0</v>
      </c>
    </row>
    <row r="92" spans="1:13" x14ac:dyDescent="0.25">
      <c r="A92" s="308"/>
      <c r="B92" s="281" t="s">
        <v>879</v>
      </c>
      <c r="C92" s="270" t="str">
        <f>Просчет!A156</f>
        <v>Дверь филенчатая 80 см (компл.)</v>
      </c>
      <c r="D92" s="208">
        <f>Просчет!B156</f>
        <v>0</v>
      </c>
      <c r="E92" s="208" t="str">
        <f>Просчет!C156</f>
        <v>шт</v>
      </c>
      <c r="F92" s="225">
        <v>3000</v>
      </c>
      <c r="G92" s="208">
        <f t="shared" si="4"/>
        <v>1320</v>
      </c>
      <c r="H92" s="209">
        <f t="shared" si="5"/>
        <v>0</v>
      </c>
    </row>
    <row r="93" spans="1:13" x14ac:dyDescent="0.25">
      <c r="A93" s="308"/>
      <c r="B93" s="281" t="s">
        <v>879</v>
      </c>
      <c r="C93" s="270" t="str">
        <f>Просчет!A157</f>
        <v>Дверь филенчатая 90 см (компл.)</v>
      </c>
      <c r="D93" s="208">
        <f>Просчет!B157</f>
        <v>0</v>
      </c>
      <c r="E93" s="208" t="str">
        <f>Просчет!C157</f>
        <v>шт</v>
      </c>
      <c r="F93" s="225">
        <v>3000</v>
      </c>
      <c r="G93" s="208">
        <f t="shared" si="4"/>
        <v>1320</v>
      </c>
      <c r="H93" s="209">
        <f t="shared" si="5"/>
        <v>0</v>
      </c>
    </row>
    <row r="94" spans="1:13" x14ac:dyDescent="0.25">
      <c r="A94" s="308"/>
      <c r="B94" s="281" t="s">
        <v>879</v>
      </c>
      <c r="C94" s="270" t="str">
        <f>Просчет!A158</f>
        <v>Дверь банная</v>
      </c>
      <c r="D94" s="208">
        <f>Просчет!B158</f>
        <v>0</v>
      </c>
      <c r="E94" s="208" t="str">
        <f>Просчет!C158</f>
        <v>шт</v>
      </c>
      <c r="F94" s="225">
        <v>2250</v>
      </c>
      <c r="G94" s="208">
        <f t="shared" si="4"/>
        <v>990.00000000000011</v>
      </c>
      <c r="H94" s="209">
        <f t="shared" si="5"/>
        <v>0</v>
      </c>
    </row>
    <row r="95" spans="1:13" x14ac:dyDescent="0.25">
      <c r="A95" s="308"/>
      <c r="B95" s="281" t="s">
        <v>879</v>
      </c>
      <c r="C95" s="270" t="str">
        <f>Просчет!A159</f>
        <v>Дверь банная со стеклом</v>
      </c>
      <c r="D95" s="208">
        <f>Просчет!B159</f>
        <v>0</v>
      </c>
      <c r="E95" s="208" t="str">
        <f>Просчет!C159</f>
        <v>шт</v>
      </c>
      <c r="F95" s="225">
        <v>6250</v>
      </c>
      <c r="G95" s="208">
        <f t="shared" si="4"/>
        <v>2750</v>
      </c>
      <c r="H95" s="209">
        <f t="shared" si="5"/>
        <v>0</v>
      </c>
    </row>
    <row r="96" spans="1:13" x14ac:dyDescent="0.25">
      <c r="A96" s="308"/>
      <c r="B96" s="281" t="s">
        <v>879</v>
      </c>
      <c r="C96" s="270" t="str">
        <f>Просчет!A160</f>
        <v>Дверь стеклянная</v>
      </c>
      <c r="D96" s="208">
        <f>Просчет!B160</f>
        <v>0</v>
      </c>
      <c r="E96" s="208" t="str">
        <f>Просчет!C160</f>
        <v>шт</v>
      </c>
      <c r="F96" s="225">
        <v>6250</v>
      </c>
      <c r="G96" s="208">
        <f t="shared" si="4"/>
        <v>2750</v>
      </c>
      <c r="H96" s="209">
        <f t="shared" si="5"/>
        <v>0</v>
      </c>
    </row>
    <row r="97" spans="1:10" x14ac:dyDescent="0.25">
      <c r="A97" s="308"/>
      <c r="B97" s="281" t="s">
        <v>879</v>
      </c>
      <c r="C97" s="261" t="s">
        <v>886</v>
      </c>
      <c r="D97" s="256">
        <v>0</v>
      </c>
      <c r="E97" s="256" t="s">
        <v>0</v>
      </c>
      <c r="F97" s="255">
        <v>0</v>
      </c>
      <c r="G97" s="208">
        <f t="shared" si="4"/>
        <v>0</v>
      </c>
      <c r="H97" s="209">
        <f t="shared" si="5"/>
        <v>0</v>
      </c>
    </row>
    <row r="98" spans="1:10" ht="30" x14ac:dyDescent="0.25">
      <c r="A98" s="308"/>
      <c r="B98" s="281" t="s">
        <v>821</v>
      </c>
      <c r="C98" s="270" t="str">
        <f>Просчет!A161</f>
        <v>Дверь входная 1,2мм РФ левая не утепленная</v>
      </c>
      <c r="D98" s="208">
        <f>Просчет!B161</f>
        <v>0</v>
      </c>
      <c r="E98" s="208" t="str">
        <f>Просчет!C161</f>
        <v>шт</v>
      </c>
      <c r="F98" s="225">
        <v>10000</v>
      </c>
      <c r="G98" s="208">
        <f t="shared" si="4"/>
        <v>4400</v>
      </c>
      <c r="H98" s="209">
        <f t="shared" si="5"/>
        <v>0</v>
      </c>
    </row>
    <row r="99" spans="1:10" ht="30" x14ac:dyDescent="0.25">
      <c r="A99" s="308"/>
      <c r="B99" s="281" t="s">
        <v>821</v>
      </c>
      <c r="C99" s="270" t="str">
        <f>Просчет!A162</f>
        <v>Дверь входная 1,2мм РФ правая не утепленная</v>
      </c>
      <c r="D99" s="208">
        <f>Просчет!B162</f>
        <v>0</v>
      </c>
      <c r="E99" s="208" t="str">
        <f>Просчет!C162</f>
        <v>шт</v>
      </c>
      <c r="F99" s="225">
        <v>10000</v>
      </c>
      <c r="G99" s="208">
        <f t="shared" si="4"/>
        <v>4400</v>
      </c>
      <c r="H99" s="209">
        <f t="shared" si="5"/>
        <v>0</v>
      </c>
    </row>
    <row r="100" spans="1:10" ht="30" x14ac:dyDescent="0.25">
      <c r="A100" s="308"/>
      <c r="B100" s="281" t="s">
        <v>821</v>
      </c>
      <c r="C100" s="270" t="str">
        <f>Просчет!A163</f>
        <v>Дверь входная 1,5мм РФ левая утепленная</v>
      </c>
      <c r="D100" s="208">
        <f>Просчет!B163</f>
        <v>0</v>
      </c>
      <c r="E100" s="208" t="str">
        <f>Просчет!C163</f>
        <v>шт</v>
      </c>
      <c r="F100" s="225">
        <v>13750</v>
      </c>
      <c r="G100" s="208">
        <f t="shared" si="4"/>
        <v>6050.0000000000009</v>
      </c>
      <c r="H100" s="209">
        <f t="shared" si="5"/>
        <v>0</v>
      </c>
    </row>
    <row r="101" spans="1:10" ht="30" x14ac:dyDescent="0.25">
      <c r="A101" s="308"/>
      <c r="B101" s="281" t="s">
        <v>821</v>
      </c>
      <c r="C101" s="270" t="str">
        <f>Просчет!A164</f>
        <v>Дверь входная 1,5мм РФ правая утепленная</v>
      </c>
      <c r="D101" s="208">
        <f>Просчет!B164</f>
        <v>0</v>
      </c>
      <c r="E101" s="208" t="str">
        <f>Просчет!C164</f>
        <v>шт</v>
      </c>
      <c r="F101" s="225">
        <v>13750</v>
      </c>
      <c r="G101" s="208">
        <f t="shared" si="4"/>
        <v>6050.0000000000009</v>
      </c>
      <c r="H101" s="209">
        <f t="shared" si="5"/>
        <v>0</v>
      </c>
    </row>
    <row r="102" spans="1:10" ht="30" x14ac:dyDescent="0.25">
      <c r="A102" s="308"/>
      <c r="B102" s="281" t="s">
        <v>821</v>
      </c>
      <c r="C102" s="270" t="str">
        <f>Просчет!A165</f>
        <v>Дверь входная с терморазрывом левая</v>
      </c>
      <c r="D102" s="208">
        <f>Просчет!B165</f>
        <v>0</v>
      </c>
      <c r="E102" s="208" t="str">
        <f>Просчет!C165</f>
        <v>шт</v>
      </c>
      <c r="F102" s="225">
        <v>23125</v>
      </c>
      <c r="G102" s="208">
        <f t="shared" si="4"/>
        <v>10175</v>
      </c>
      <c r="H102" s="209">
        <f t="shared" si="5"/>
        <v>0</v>
      </c>
    </row>
    <row r="103" spans="1:10" ht="30" x14ac:dyDescent="0.25">
      <c r="A103" s="308"/>
      <c r="B103" s="281" t="s">
        <v>821</v>
      </c>
      <c r="C103" s="270" t="str">
        <f>Просчет!A166</f>
        <v>Дверь входная с терморазрывом правая</v>
      </c>
      <c r="D103" s="208">
        <f>Просчет!B166</f>
        <v>0</v>
      </c>
      <c r="E103" s="208" t="str">
        <f>Просчет!C166</f>
        <v>шт</v>
      </c>
      <c r="F103" s="225">
        <v>23125</v>
      </c>
      <c r="G103" s="208">
        <f t="shared" si="4"/>
        <v>10175</v>
      </c>
      <c r="H103" s="209">
        <f t="shared" si="5"/>
        <v>0</v>
      </c>
    </row>
    <row r="104" spans="1:10" ht="15.75" thickBot="1" x14ac:dyDescent="0.3">
      <c r="A104" s="308"/>
      <c r="B104" s="282" t="s">
        <v>821</v>
      </c>
      <c r="C104" s="279" t="s">
        <v>885</v>
      </c>
      <c r="D104" s="280">
        <v>0</v>
      </c>
      <c r="E104" s="280" t="s">
        <v>0</v>
      </c>
      <c r="F104" s="277">
        <v>0</v>
      </c>
      <c r="G104" s="226">
        <f t="shared" si="4"/>
        <v>0</v>
      </c>
      <c r="H104" s="235">
        <f t="shared" si="5"/>
        <v>0</v>
      </c>
    </row>
    <row r="105" spans="1:10" s="65" customFormat="1" ht="15.75" thickBot="1" x14ac:dyDescent="0.3">
      <c r="A105" s="353">
        <f>A87+1</f>
        <v>9</v>
      </c>
      <c r="B105" s="615" t="s">
        <v>290</v>
      </c>
      <c r="C105" s="615"/>
      <c r="D105" s="615"/>
      <c r="E105" s="615"/>
      <c r="F105" s="615"/>
      <c r="G105" s="615"/>
      <c r="H105" s="616"/>
      <c r="J105" s="298"/>
    </row>
    <row r="106" spans="1:10" ht="15.75" thickBot="1" x14ac:dyDescent="0.3">
      <c r="A106" s="308"/>
      <c r="B106" s="245" t="s">
        <v>823</v>
      </c>
      <c r="C106" s="404" t="s">
        <v>932</v>
      </c>
      <c r="D106" s="264">
        <f>IF(C106&gt;0,1,0)</f>
        <v>1</v>
      </c>
      <c r="E106" s="264" t="s">
        <v>722</v>
      </c>
      <c r="F106" s="263"/>
      <c r="G106" s="264">
        <f t="shared" si="4"/>
        <v>0</v>
      </c>
      <c r="H106" s="265">
        <f t="shared" si="5"/>
        <v>0</v>
      </c>
    </row>
    <row r="107" spans="1:10" s="65" customFormat="1" ht="15.75" thickBot="1" x14ac:dyDescent="0.3">
      <c r="A107" s="353">
        <f>A105+1</f>
        <v>10</v>
      </c>
      <c r="B107" s="615" t="s">
        <v>3</v>
      </c>
      <c r="C107" s="615"/>
      <c r="D107" s="615"/>
      <c r="E107" s="615"/>
      <c r="F107" s="615"/>
      <c r="G107" s="615"/>
      <c r="H107" s="616"/>
      <c r="J107" s="298"/>
    </row>
    <row r="108" spans="1:10" ht="30.75" thickBot="1" x14ac:dyDescent="0.3">
      <c r="A108" s="355"/>
      <c r="B108" s="319"/>
      <c r="C108" s="246" t="s">
        <v>822</v>
      </c>
      <c r="D108" s="230">
        <v>1</v>
      </c>
      <c r="E108" s="230" t="s">
        <v>722</v>
      </c>
      <c r="F108" s="260">
        <f>(SUM(Просчет!G176:G225)+Просчет!G11)*1.8</f>
        <v>56321.55</v>
      </c>
      <c r="G108" s="206">
        <v>0</v>
      </c>
      <c r="H108" s="207">
        <f t="shared" si="5"/>
        <v>56321.55</v>
      </c>
    </row>
    <row r="109" spans="1:10" s="65" customFormat="1" ht="15.75" thickBot="1" x14ac:dyDescent="0.3">
      <c r="A109" s="353">
        <f>A107+1</f>
        <v>11</v>
      </c>
      <c r="B109" s="615" t="s">
        <v>280</v>
      </c>
      <c r="C109" s="615"/>
      <c r="D109" s="615"/>
      <c r="E109" s="615"/>
      <c r="F109" s="615"/>
      <c r="G109" s="615"/>
      <c r="H109" s="616"/>
      <c r="J109" s="298"/>
    </row>
    <row r="110" spans="1:10" ht="15.75" thickBot="1" x14ac:dyDescent="0.3">
      <c r="A110" s="292"/>
      <c r="B110" s="236" t="s">
        <v>895</v>
      </c>
      <c r="C110" s="236" t="str">
        <f>_xlfn.TEXTJOIN(", ",,IF(Просчет!B255&gt;0,Просчет!A255,""),IF(Просчет!B256&gt;0,Просчет!A256,""),IF(Просчет!B257&gt;0,Просчет!A257,""),IF(Просчет!B258&gt;0,Просчет!A258,""),IF(Просчет!B259&gt;0,Просчет!A259,""),IF(Просчет!B260&gt;0,Просчет!A260,""),IF(Просчет!B261&gt;0,Просчет!A261,""),IF(Просчет!B262&gt;0,Просчет!A262,""),IF(Просчет!B262&gt;0,Просчет!A262,""),IF(Просчет!B263&gt;0,Просчет!A263,""))</f>
        <v>Обналичка 110 3м</v>
      </c>
      <c r="D110" s="237">
        <f>IF(OR(Просчет!B255&gt;0,Просчет!B256&gt;0,Просчет!B257&gt;0,Просчет!B258&gt;0,Просчет!B259&gt;0,Просчет!B260&gt;0,Просчет!B261&gt;0,Просчет!B262&gt;0,Просчет!B262&gt;0,Просчет!B263&gt;0),1,0)</f>
        <v>1</v>
      </c>
      <c r="E110" s="237" t="s">
        <v>722</v>
      </c>
      <c r="F110" s="276">
        <f>(SUM(Просчет!G255:G263)*1.25)</f>
        <v>2512.5</v>
      </c>
      <c r="G110" s="250">
        <f t="shared" si="4"/>
        <v>1105.5</v>
      </c>
      <c r="H110" s="243">
        <f t="shared" si="5"/>
        <v>3618</v>
      </c>
      <c r="I110" s="65"/>
      <c r="J110" s="298"/>
    </row>
    <row r="111" spans="1:10" s="65" customFormat="1" ht="15.75" thickBot="1" x14ac:dyDescent="0.3">
      <c r="A111" s="353">
        <f>A109+1</f>
        <v>12</v>
      </c>
      <c r="B111" s="615" t="s">
        <v>403</v>
      </c>
      <c r="C111" s="615"/>
      <c r="D111" s="615"/>
      <c r="E111" s="615"/>
      <c r="F111" s="615"/>
      <c r="G111" s="615"/>
      <c r="H111" s="616"/>
      <c r="J111" s="298"/>
    </row>
    <row r="112" spans="1:10" x14ac:dyDescent="0.25">
      <c r="A112" s="308"/>
      <c r="B112" s="284" t="s">
        <v>881</v>
      </c>
      <c r="C112" s="238" t="str">
        <f>Просчет!A269</f>
        <v>Полог осина 3,0м (90), Сорт А</v>
      </c>
      <c r="D112" s="240">
        <f>Просчет!B269</f>
        <v>0</v>
      </c>
      <c r="E112" s="240" t="str">
        <f>Просчет!C269</f>
        <v>шт</v>
      </c>
      <c r="F112" s="285">
        <v>263</v>
      </c>
      <c r="G112" s="240">
        <f t="shared" si="4"/>
        <v>115.72000000000001</v>
      </c>
      <c r="H112" s="241">
        <f t="shared" si="5"/>
        <v>0</v>
      </c>
    </row>
    <row r="113" spans="1:10" x14ac:dyDescent="0.25">
      <c r="A113" s="308"/>
      <c r="B113" s="281" t="s">
        <v>882</v>
      </c>
      <c r="C113" s="270" t="str">
        <f>Просчет!A270</f>
        <v>ОСА Термофор</v>
      </c>
      <c r="D113" s="208">
        <f>Просчет!B270</f>
        <v>0</v>
      </c>
      <c r="E113" s="208" t="s">
        <v>722</v>
      </c>
      <c r="F113" s="251"/>
      <c r="G113" s="208">
        <f t="shared" si="4"/>
        <v>0</v>
      </c>
      <c r="H113" s="209">
        <f t="shared" si="5"/>
        <v>0</v>
      </c>
    </row>
    <row r="114" spans="1:10" x14ac:dyDescent="0.25">
      <c r="A114" s="308"/>
      <c r="B114" s="281" t="s">
        <v>882</v>
      </c>
      <c r="C114" s="270" t="str">
        <f>Просчет!A271</f>
        <v>Печь термофор,10, бак на 55л</v>
      </c>
      <c r="D114" s="208">
        <f>Просчет!B271</f>
        <v>0</v>
      </c>
      <c r="E114" s="208" t="s">
        <v>722</v>
      </c>
      <c r="F114" s="251"/>
      <c r="G114" s="208">
        <f t="shared" si="4"/>
        <v>0</v>
      </c>
      <c r="H114" s="209">
        <f t="shared" si="5"/>
        <v>0</v>
      </c>
    </row>
    <row r="115" spans="1:10" x14ac:dyDescent="0.25">
      <c r="A115" s="308"/>
      <c r="B115" s="281" t="s">
        <v>882</v>
      </c>
      <c r="C115" s="270" t="str">
        <f>Просчет!A272</f>
        <v>Печь термофор, 15</v>
      </c>
      <c r="D115" s="208">
        <f>Просчет!B272</f>
        <v>0</v>
      </c>
      <c r="E115" s="208" t="s">
        <v>722</v>
      </c>
      <c r="F115" s="251"/>
      <c r="G115" s="208">
        <f t="shared" si="4"/>
        <v>0</v>
      </c>
      <c r="H115" s="209">
        <f t="shared" si="5"/>
        <v>0</v>
      </c>
    </row>
    <row r="116" spans="1:10" x14ac:dyDescent="0.25">
      <c r="A116" s="308"/>
      <c r="B116" s="281" t="s">
        <v>882</v>
      </c>
      <c r="C116" s="270" t="str">
        <f>Просчет!A273</f>
        <v>Печь кирасир,10 в перегородку</v>
      </c>
      <c r="D116" s="208">
        <f>Просчет!B273</f>
        <v>0</v>
      </c>
      <c r="E116" s="208" t="s">
        <v>722</v>
      </c>
      <c r="F116" s="251"/>
      <c r="G116" s="208">
        <f t="shared" si="4"/>
        <v>0</v>
      </c>
      <c r="H116" s="209">
        <f t="shared" si="5"/>
        <v>0</v>
      </c>
    </row>
    <row r="117" spans="1:10" x14ac:dyDescent="0.25">
      <c r="A117" s="308"/>
      <c r="B117" s="281" t="s">
        <v>882</v>
      </c>
      <c r="C117" s="270" t="str">
        <f>Просчет!A274</f>
        <v>Кирасир 15</v>
      </c>
      <c r="D117" s="208">
        <f>Просчет!B274</f>
        <v>0</v>
      </c>
      <c r="E117" s="208" t="s">
        <v>722</v>
      </c>
      <c r="F117" s="251"/>
      <c r="G117" s="208">
        <f t="shared" si="4"/>
        <v>0</v>
      </c>
      <c r="H117" s="209">
        <f t="shared" si="5"/>
        <v>0</v>
      </c>
    </row>
    <row r="118" spans="1:10" x14ac:dyDescent="0.25">
      <c r="A118" s="308"/>
      <c r="B118" s="281" t="s">
        <v>882</v>
      </c>
      <c r="C118" s="270" t="str">
        <f>Просчет!A275</f>
        <v>Печь кирасир,15, интро</v>
      </c>
      <c r="D118" s="208">
        <f>Просчет!B275</f>
        <v>0</v>
      </c>
      <c r="E118" s="208" t="s">
        <v>722</v>
      </c>
      <c r="F118" s="251"/>
      <c r="G118" s="208">
        <f t="shared" si="4"/>
        <v>0</v>
      </c>
      <c r="H118" s="209">
        <f t="shared" si="5"/>
        <v>0</v>
      </c>
    </row>
    <row r="119" spans="1:10" x14ac:dyDescent="0.25">
      <c r="A119" s="308"/>
      <c r="B119" s="281" t="s">
        <v>882</v>
      </c>
      <c r="C119" s="270" t="str">
        <f>Просчет!A281</f>
        <v>Печь отопительная</v>
      </c>
      <c r="D119" s="208">
        <f>Просчет!B281</f>
        <v>0</v>
      </c>
      <c r="E119" s="208" t="s">
        <v>722</v>
      </c>
      <c r="F119" s="251"/>
      <c r="G119" s="208">
        <f t="shared" si="4"/>
        <v>0</v>
      </c>
      <c r="H119" s="209">
        <f t="shared" si="5"/>
        <v>0</v>
      </c>
    </row>
    <row r="120" spans="1:10" x14ac:dyDescent="0.25">
      <c r="A120" s="308"/>
      <c r="B120" s="281" t="s">
        <v>882</v>
      </c>
      <c r="C120" s="261" t="s">
        <v>883</v>
      </c>
      <c r="D120" s="256">
        <v>0</v>
      </c>
      <c r="E120" s="256" t="s">
        <v>722</v>
      </c>
      <c r="F120" s="255">
        <v>0</v>
      </c>
      <c r="G120" s="208">
        <f t="shared" si="4"/>
        <v>0</v>
      </c>
      <c r="H120" s="209">
        <f t="shared" si="5"/>
        <v>0</v>
      </c>
    </row>
    <row r="121" spans="1:10" ht="15.75" thickBot="1" x14ac:dyDescent="0.3">
      <c r="A121" s="308"/>
      <c r="B121" s="282" t="str">
        <f>Просчет!A289</f>
        <v xml:space="preserve">Отвод воды за пределы бани </v>
      </c>
      <c r="C121" s="272"/>
      <c r="D121" s="226">
        <f>Просчет!B289</f>
        <v>0</v>
      </c>
      <c r="E121" s="226" t="s">
        <v>722</v>
      </c>
      <c r="F121" s="239">
        <v>2600</v>
      </c>
      <c r="G121" s="226">
        <f t="shared" si="4"/>
        <v>1144</v>
      </c>
      <c r="H121" s="235">
        <f t="shared" si="5"/>
        <v>0</v>
      </c>
    </row>
    <row r="122" spans="1:10" s="65" customFormat="1" ht="15.75" thickBot="1" x14ac:dyDescent="0.3">
      <c r="A122" s="353">
        <f>A111+1</f>
        <v>13</v>
      </c>
      <c r="B122" s="612" t="s">
        <v>828</v>
      </c>
      <c r="C122" s="613"/>
      <c r="D122" s="613"/>
      <c r="E122" s="613"/>
      <c r="F122" s="613"/>
      <c r="G122" s="613"/>
      <c r="H122" s="614"/>
      <c r="J122" s="298"/>
    </row>
    <row r="123" spans="1:10" ht="15.75" thickBot="1" x14ac:dyDescent="0.3">
      <c r="A123" s="308"/>
      <c r="B123" s="245"/>
      <c r="C123" s="404" t="s">
        <v>932</v>
      </c>
      <c r="D123" s="264">
        <f>IF(C123&gt;0,1,0)</f>
        <v>1</v>
      </c>
      <c r="E123" s="264" t="s">
        <v>722</v>
      </c>
      <c r="F123" s="263"/>
      <c r="G123" s="264">
        <f t="shared" ref="G123" si="6">F123/1.25*0.55</f>
        <v>0</v>
      </c>
      <c r="H123" s="265">
        <f t="shared" ref="H123" si="7">(F123+G123)*D123</f>
        <v>0</v>
      </c>
    </row>
    <row r="124" spans="1:10" s="65" customFormat="1" ht="15.75" thickBot="1" x14ac:dyDescent="0.3">
      <c r="A124" s="353">
        <f>A122+1</f>
        <v>14</v>
      </c>
      <c r="B124" s="615" t="s">
        <v>896</v>
      </c>
      <c r="C124" s="615"/>
      <c r="D124" s="615"/>
      <c r="E124" s="615"/>
      <c r="F124" s="615"/>
      <c r="G124" s="615"/>
      <c r="H124" s="616"/>
      <c r="J124" s="298"/>
    </row>
    <row r="125" spans="1:10" x14ac:dyDescent="0.25">
      <c r="A125" s="292"/>
      <c r="B125" s="271"/>
      <c r="C125" s="271" t="str">
        <f>Просчет!A291</f>
        <v>25*100*6 2-й сорт</v>
      </c>
      <c r="D125" s="206">
        <f>Просчет!B291</f>
        <v>0</v>
      </c>
      <c r="E125" s="206" t="str">
        <f>Просчет!C291</f>
        <v>шт</v>
      </c>
      <c r="F125" s="254"/>
      <c r="G125" s="206">
        <f>F125/1.25*0.55</f>
        <v>0</v>
      </c>
      <c r="H125" s="207">
        <f>(F125+G125)*D125</f>
        <v>0</v>
      </c>
    </row>
    <row r="126" spans="1:10" x14ac:dyDescent="0.25">
      <c r="A126" s="308"/>
      <c r="B126" s="270"/>
      <c r="C126" s="270" t="str">
        <f>Просчет!A292</f>
        <v>50*100*6 2-й сорт</v>
      </c>
      <c r="D126" s="208">
        <f>Просчет!B292</f>
        <v>0</v>
      </c>
      <c r="E126" s="208" t="str">
        <f>Просчет!C292</f>
        <v>шт</v>
      </c>
      <c r="F126" s="251"/>
      <c r="G126" s="208">
        <f>F126/1.25*0.55</f>
        <v>0</v>
      </c>
      <c r="H126" s="209">
        <f t="shared" ref="H126:H133" si="8">(F126+G126)*D126</f>
        <v>0</v>
      </c>
    </row>
    <row r="127" spans="1:10" x14ac:dyDescent="0.25">
      <c r="A127" s="308"/>
      <c r="B127" s="270"/>
      <c r="C127" s="270" t="str">
        <f>Просчет!A293</f>
        <v>50*150*6 2-й сорт</v>
      </c>
      <c r="D127" s="208">
        <f>Просчет!B293</f>
        <v>0</v>
      </c>
      <c r="E127" s="208" t="str">
        <f>Просчет!C293</f>
        <v>шт</v>
      </c>
      <c r="F127" s="251"/>
      <c r="G127" s="208">
        <f t="shared" ref="G127:G133" si="9">F127/1.25*0.55</f>
        <v>0</v>
      </c>
      <c r="H127" s="209">
        <f t="shared" si="8"/>
        <v>0</v>
      </c>
    </row>
    <row r="128" spans="1:10" x14ac:dyDescent="0.25">
      <c r="A128" s="308"/>
      <c r="B128" s="270"/>
      <c r="C128" s="270">
        <f>Просчет!A294</f>
        <v>0</v>
      </c>
      <c r="D128" s="208">
        <f>Просчет!B294</f>
        <v>0</v>
      </c>
      <c r="E128" s="208">
        <f>Просчет!C294</f>
        <v>0</v>
      </c>
      <c r="F128" s="251"/>
      <c r="G128" s="208">
        <f t="shared" si="9"/>
        <v>0</v>
      </c>
      <c r="H128" s="209">
        <f t="shared" si="8"/>
        <v>0</v>
      </c>
    </row>
    <row r="129" spans="1:10" x14ac:dyDescent="0.25">
      <c r="A129" s="308"/>
      <c r="B129" s="270"/>
      <c r="C129" s="270">
        <f>Просчет!A295</f>
        <v>0</v>
      </c>
      <c r="D129" s="208">
        <f>Просчет!B295</f>
        <v>0</v>
      </c>
      <c r="E129" s="208">
        <f>Просчет!C295</f>
        <v>0</v>
      </c>
      <c r="F129" s="251"/>
      <c r="G129" s="208">
        <f t="shared" si="9"/>
        <v>0</v>
      </c>
      <c r="H129" s="209">
        <f t="shared" si="8"/>
        <v>0</v>
      </c>
    </row>
    <row r="130" spans="1:10" x14ac:dyDescent="0.25">
      <c r="A130" s="308"/>
      <c r="B130" s="270"/>
      <c r="C130" s="270">
        <f>Просчет!A296</f>
        <v>0</v>
      </c>
      <c r="D130" s="208">
        <f>Просчет!B296</f>
        <v>0</v>
      </c>
      <c r="E130" s="208">
        <f>Просчет!C296</f>
        <v>0</v>
      </c>
      <c r="F130" s="251"/>
      <c r="G130" s="208">
        <f t="shared" si="9"/>
        <v>0</v>
      </c>
      <c r="H130" s="209">
        <f t="shared" si="8"/>
        <v>0</v>
      </c>
    </row>
    <row r="131" spans="1:10" x14ac:dyDescent="0.25">
      <c r="A131" s="308"/>
      <c r="B131" s="270"/>
      <c r="C131" s="270">
        <f>Просчет!A297</f>
        <v>0</v>
      </c>
      <c r="D131" s="208">
        <f>Просчет!B297</f>
        <v>0</v>
      </c>
      <c r="E131" s="208">
        <f>Просчет!C297</f>
        <v>0</v>
      </c>
      <c r="F131" s="251"/>
      <c r="G131" s="208">
        <f t="shared" si="9"/>
        <v>0</v>
      </c>
      <c r="H131" s="209">
        <f t="shared" si="8"/>
        <v>0</v>
      </c>
    </row>
    <row r="132" spans="1:10" x14ac:dyDescent="0.25">
      <c r="A132" s="308"/>
      <c r="B132" s="270"/>
      <c r="C132" s="270">
        <f>Просчет!A298</f>
        <v>0</v>
      </c>
      <c r="D132" s="208">
        <f>Просчет!B298</f>
        <v>0</v>
      </c>
      <c r="E132" s="208">
        <f>Просчет!C298</f>
        <v>0</v>
      </c>
      <c r="F132" s="251"/>
      <c r="G132" s="208">
        <f t="shared" si="9"/>
        <v>0</v>
      </c>
      <c r="H132" s="209">
        <f t="shared" si="8"/>
        <v>0</v>
      </c>
    </row>
    <row r="133" spans="1:10" ht="15.75" thickBot="1" x14ac:dyDescent="0.3">
      <c r="A133" s="310"/>
      <c r="B133" s="273"/>
      <c r="C133" s="273">
        <f>Просчет!A299</f>
        <v>0</v>
      </c>
      <c r="D133" s="210">
        <f>Просчет!B299</f>
        <v>0</v>
      </c>
      <c r="E133" s="210">
        <f>Просчет!C299</f>
        <v>0</v>
      </c>
      <c r="F133" s="268"/>
      <c r="G133" s="210">
        <f t="shared" si="9"/>
        <v>0</v>
      </c>
      <c r="H133" s="211">
        <f t="shared" si="8"/>
        <v>0</v>
      </c>
    </row>
    <row r="134" spans="1:10" s="65" customFormat="1" ht="15.75" thickBot="1" x14ac:dyDescent="0.3">
      <c r="A134" s="353">
        <f>A124+1</f>
        <v>15</v>
      </c>
      <c r="B134" s="615" t="s">
        <v>824</v>
      </c>
      <c r="C134" s="615"/>
      <c r="D134" s="615"/>
      <c r="E134" s="615"/>
      <c r="F134" s="615"/>
      <c r="G134" s="615"/>
      <c r="H134" s="616"/>
      <c r="J134" s="298"/>
    </row>
    <row r="135" spans="1:10" x14ac:dyDescent="0.25">
      <c r="A135" s="357"/>
      <c r="B135" s="293" t="s">
        <v>825</v>
      </c>
      <c r="C135" s="287"/>
      <c r="D135" s="340">
        <v>1</v>
      </c>
      <c r="E135" s="288" t="s">
        <v>722</v>
      </c>
      <c r="F135" s="285">
        <v>0</v>
      </c>
      <c r="G135" s="286">
        <v>50000</v>
      </c>
      <c r="H135" s="241">
        <f>(G135+F135)*D135</f>
        <v>50000</v>
      </c>
    </row>
    <row r="136" spans="1:10" ht="30" x14ac:dyDescent="0.25">
      <c r="A136" s="357"/>
      <c r="B136" s="294" t="s">
        <v>826</v>
      </c>
      <c r="C136" s="269"/>
      <c r="D136" s="341">
        <v>1</v>
      </c>
      <c r="E136" s="267" t="s">
        <v>722</v>
      </c>
      <c r="F136" s="225">
        <v>0</v>
      </c>
      <c r="G136" s="251">
        <v>17000</v>
      </c>
      <c r="H136" s="209">
        <f t="shared" ref="H136:H140" si="10">(G136+F136)*D136</f>
        <v>17000</v>
      </c>
    </row>
    <row r="137" spans="1:10" x14ac:dyDescent="0.25">
      <c r="A137" s="357"/>
      <c r="B137" s="294" t="s">
        <v>434</v>
      </c>
      <c r="C137" s="269"/>
      <c r="D137" s="341">
        <v>1</v>
      </c>
      <c r="E137" s="267" t="s">
        <v>722</v>
      </c>
      <c r="F137" s="225">
        <v>0</v>
      </c>
      <c r="G137" s="251">
        <v>15000</v>
      </c>
      <c r="H137" s="209">
        <f t="shared" si="10"/>
        <v>15000</v>
      </c>
    </row>
    <row r="138" spans="1:10" ht="15.75" thickBot="1" x14ac:dyDescent="0.3">
      <c r="A138" s="357"/>
      <c r="B138" s="295" t="s">
        <v>827</v>
      </c>
      <c r="C138" s="289"/>
      <c r="D138" s="342">
        <v>1</v>
      </c>
      <c r="E138" s="290" t="s">
        <v>722</v>
      </c>
      <c r="F138" s="239">
        <v>0</v>
      </c>
      <c r="G138" s="291">
        <v>15000</v>
      </c>
      <c r="H138" s="235">
        <f t="shared" si="10"/>
        <v>15000</v>
      </c>
    </row>
    <row r="139" spans="1:10" s="65" customFormat="1" ht="15.75" thickBot="1" x14ac:dyDescent="0.3">
      <c r="A139" s="359">
        <f>A134+1</f>
        <v>16</v>
      </c>
      <c r="B139" s="610" t="s">
        <v>6</v>
      </c>
      <c r="C139" s="610"/>
      <c r="D139" s="610"/>
      <c r="E139" s="610"/>
      <c r="F139" s="610"/>
      <c r="G139" s="610"/>
      <c r="H139" s="611"/>
      <c r="J139" s="298"/>
    </row>
    <row r="140" spans="1:10" ht="15.75" thickBot="1" x14ac:dyDescent="0.3">
      <c r="A140" s="362"/>
      <c r="B140" s="319" t="s">
        <v>6</v>
      </c>
      <c r="C140" s="246"/>
      <c r="D140" s="248">
        <v>1</v>
      </c>
      <c r="E140" s="230" t="s">
        <v>722</v>
      </c>
      <c r="F140" s="266">
        <v>0</v>
      </c>
      <c r="G140" s="248">
        <v>39000</v>
      </c>
      <c r="H140" s="296">
        <f t="shared" si="10"/>
        <v>39000</v>
      </c>
    </row>
    <row r="141" spans="1:10" ht="15.75" thickBot="1" x14ac:dyDescent="0.3">
      <c r="A141" s="311"/>
      <c r="B141" s="302" t="s">
        <v>829</v>
      </c>
      <c r="C141" s="192"/>
      <c r="D141" s="244"/>
      <c r="E141" s="244"/>
      <c r="F141" s="244"/>
      <c r="G141" s="244"/>
      <c r="H141" s="303">
        <f>SUM(H5:H140)</f>
        <v>712855.054</v>
      </c>
    </row>
    <row r="143" spans="1:10" x14ac:dyDescent="0.25">
      <c r="B143" s="192"/>
    </row>
    <row r="145" spans="2:4" x14ac:dyDescent="0.25">
      <c r="B145" s="192"/>
      <c r="C145" s="192"/>
      <c r="D145" s="244"/>
    </row>
    <row r="146" spans="2:4" x14ac:dyDescent="0.25">
      <c r="B146" s="192"/>
      <c r="C146" s="192"/>
      <c r="D146" s="244"/>
    </row>
    <row r="147" spans="2:4" x14ac:dyDescent="0.25">
      <c r="B147" s="192"/>
      <c r="C147" s="192"/>
      <c r="D147" s="244"/>
    </row>
    <row r="148" spans="2:4" x14ac:dyDescent="0.25">
      <c r="B148" s="192"/>
      <c r="C148" s="192"/>
      <c r="D148" s="244"/>
    </row>
    <row r="149" spans="2:4" x14ac:dyDescent="0.25">
      <c r="B149" s="192"/>
      <c r="C149" s="192"/>
      <c r="D149" s="244"/>
    </row>
    <row r="150" spans="2:4" x14ac:dyDescent="0.25">
      <c r="B150" s="192"/>
      <c r="C150" s="192"/>
      <c r="D150" s="244"/>
    </row>
  </sheetData>
  <autoFilter ref="A3:H141" xr:uid="{00000000-0009-0000-0000-000004000000}"/>
  <mergeCells count="17">
    <mergeCell ref="B4:H4"/>
    <mergeCell ref="A1:H1"/>
    <mergeCell ref="B9:H9"/>
    <mergeCell ref="B23:H23"/>
    <mergeCell ref="B37:H37"/>
    <mergeCell ref="B46:H46"/>
    <mergeCell ref="B51:H51"/>
    <mergeCell ref="B122:H122"/>
    <mergeCell ref="B124:H124"/>
    <mergeCell ref="B134:H134"/>
    <mergeCell ref="B139:H139"/>
    <mergeCell ref="B85:H85"/>
    <mergeCell ref="B87:H87"/>
    <mergeCell ref="B105:H105"/>
    <mergeCell ref="B107:H107"/>
    <mergeCell ref="B109:H109"/>
    <mergeCell ref="B111:H1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5"/>
  <sheetViews>
    <sheetView topLeftCell="A181" zoomScaleNormal="100" workbookViewId="0">
      <selection activeCell="D195" sqref="D195"/>
    </sheetView>
  </sheetViews>
  <sheetFormatPr defaultRowHeight="15" x14ac:dyDescent="0.25"/>
  <cols>
    <col min="1" max="1" width="4.5703125" style="304" customWidth="1"/>
    <col min="2" max="2" width="34.28515625" style="110" customWidth="1"/>
    <col min="3" max="3" width="34.7109375" style="52" customWidth="1"/>
    <col min="4" max="4" width="13.7109375" style="253" customWidth="1"/>
    <col min="5" max="5" width="8.85546875" style="253"/>
    <col min="6" max="6" width="13.28515625" style="253" customWidth="1"/>
    <col min="7" max="7" width="13.42578125" style="253" customWidth="1"/>
    <col min="8" max="8" width="13.28515625" style="253" customWidth="1"/>
    <col min="10" max="10" width="26.42578125" style="297" customWidth="1"/>
  </cols>
  <sheetData>
    <row r="1" spans="1:14" s="4" customFormat="1" x14ac:dyDescent="0.25">
      <c r="A1" s="329" t="s">
        <v>897</v>
      </c>
      <c r="B1" s="329"/>
      <c r="C1" s="329"/>
      <c r="D1" s="330"/>
      <c r="E1" s="331"/>
      <c r="F1" s="329" t="s">
        <v>903</v>
      </c>
      <c r="G1" s="331"/>
      <c r="H1" s="331"/>
      <c r="I1" s="338"/>
      <c r="J1" s="329"/>
      <c r="K1" s="329"/>
      <c r="L1" s="329"/>
      <c r="M1" s="329"/>
      <c r="N1" s="329"/>
    </row>
    <row r="2" spans="1:14" s="4" customFormat="1" ht="14.45" x14ac:dyDescent="0.3">
      <c r="A2" s="331"/>
      <c r="B2" s="331"/>
      <c r="C2" s="330"/>
      <c r="D2" s="330"/>
      <c r="E2" s="331"/>
      <c r="F2" s="331"/>
      <c r="G2" s="331"/>
      <c r="H2" s="331"/>
      <c r="I2" s="331"/>
      <c r="J2" s="331"/>
      <c r="K2" s="331"/>
      <c r="L2" s="331"/>
      <c r="M2" s="331"/>
      <c r="N2" s="331"/>
    </row>
    <row r="3" spans="1:14" s="4" customFormat="1" ht="14.45" x14ac:dyDescent="0.3">
      <c r="A3" s="331"/>
      <c r="B3" s="331"/>
      <c r="C3" s="330"/>
      <c r="D3" s="330"/>
      <c r="E3" s="331"/>
      <c r="F3" s="331"/>
      <c r="G3" s="331"/>
      <c r="H3" s="331"/>
      <c r="I3" s="331"/>
      <c r="J3" s="331"/>
      <c r="K3" s="331"/>
      <c r="L3" s="331"/>
      <c r="M3" s="331"/>
      <c r="N3" s="331"/>
    </row>
    <row r="4" spans="1:14" s="4" customFormat="1" ht="14.45" x14ac:dyDescent="0.3">
      <c r="A4" s="332" t="s">
        <v>898</v>
      </c>
      <c r="B4" s="332"/>
      <c r="C4" s="330"/>
      <c r="D4" s="330"/>
      <c r="E4" s="331"/>
      <c r="F4" s="332" t="s">
        <v>898</v>
      </c>
      <c r="G4" s="331"/>
      <c r="H4" s="331"/>
      <c r="I4" s="338"/>
      <c r="J4" s="332"/>
      <c r="K4" s="332"/>
      <c r="L4" s="332"/>
      <c r="M4" s="332"/>
      <c r="N4" s="332"/>
    </row>
    <row r="5" spans="1:14" s="4" customFormat="1" x14ac:dyDescent="0.25">
      <c r="A5" s="333" t="s">
        <v>899</v>
      </c>
      <c r="B5" s="333"/>
      <c r="C5" s="333"/>
      <c r="D5" s="330"/>
      <c r="E5" s="331"/>
      <c r="F5" s="333" t="s">
        <v>899</v>
      </c>
      <c r="G5" s="331"/>
      <c r="H5" s="331"/>
      <c r="I5" s="338"/>
      <c r="J5" s="333"/>
      <c r="K5" s="333"/>
      <c r="L5" s="333"/>
      <c r="M5" s="333"/>
      <c r="N5" s="333"/>
    </row>
    <row r="6" spans="1:14" s="4" customFormat="1" x14ac:dyDescent="0.25">
      <c r="A6" s="619" t="s">
        <v>904</v>
      </c>
      <c r="B6" s="620"/>
      <c r="C6" s="620"/>
      <c r="D6" s="620"/>
      <c r="E6" s="620"/>
      <c r="F6" s="620"/>
      <c r="G6" s="620"/>
      <c r="H6" s="620"/>
      <c r="I6" s="335"/>
      <c r="J6" s="335"/>
      <c r="K6" s="335"/>
      <c r="L6" s="334"/>
      <c r="M6" s="334"/>
      <c r="N6" s="334"/>
    </row>
    <row r="7" spans="1:14" s="4" customFormat="1" x14ac:dyDescent="0.25">
      <c r="A7" s="621" t="s">
        <v>900</v>
      </c>
      <c r="B7" s="621"/>
      <c r="C7" s="621"/>
      <c r="D7" s="621"/>
      <c r="E7" s="621"/>
      <c r="F7" s="621"/>
      <c r="G7" s="621"/>
      <c r="H7" s="621"/>
      <c r="I7" s="335"/>
      <c r="J7" s="331"/>
      <c r="K7" s="331"/>
      <c r="L7" s="331"/>
      <c r="M7" s="331"/>
      <c r="N7" s="331"/>
    </row>
    <row r="8" spans="1:14" s="4" customFormat="1" ht="14.45" x14ac:dyDescent="0.3">
      <c r="A8" s="331"/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1:14" s="4" customFormat="1" ht="14.45" customHeight="1" x14ac:dyDescent="0.25">
      <c r="A9" s="622" t="s">
        <v>901</v>
      </c>
      <c r="B9" s="622"/>
      <c r="C9" s="622"/>
      <c r="D9" s="622"/>
      <c r="E9" s="622"/>
      <c r="F9" s="622"/>
      <c r="G9" s="622"/>
      <c r="H9" s="622"/>
      <c r="I9" s="331"/>
      <c r="J9" s="331"/>
      <c r="K9" s="331"/>
      <c r="L9" s="331"/>
      <c r="M9" s="331"/>
      <c r="N9" s="331"/>
    </row>
    <row r="10" spans="1:14" s="4" customFormat="1" x14ac:dyDescent="0.25">
      <c r="A10" s="623" t="s">
        <v>902</v>
      </c>
      <c r="B10" s="623"/>
      <c r="C10" s="623"/>
      <c r="D10" s="623"/>
      <c r="E10" s="623"/>
      <c r="F10" s="623"/>
      <c r="G10" s="623"/>
      <c r="H10" s="623"/>
      <c r="I10" s="331"/>
      <c r="J10" s="331"/>
      <c r="K10" s="331"/>
      <c r="L10" s="331"/>
      <c r="M10" s="331"/>
      <c r="N10" s="331"/>
    </row>
    <row r="11" spans="1:14" s="4" customFormat="1" ht="14.45" x14ac:dyDescent="0.3">
      <c r="A11" s="331"/>
      <c r="B11" s="330"/>
      <c r="C11"/>
      <c r="D11"/>
      <c r="E11" s="331"/>
      <c r="F11" s="331"/>
      <c r="G11" s="331"/>
      <c r="H11" s="331"/>
      <c r="I11" s="331"/>
      <c r="J11" s="331"/>
      <c r="K11" s="331"/>
      <c r="L11" s="331"/>
      <c r="M11" s="331"/>
      <c r="N11" s="331"/>
    </row>
    <row r="12" spans="1:14" s="4" customFormat="1" x14ac:dyDescent="0.25">
      <c r="A12" s="619" t="s">
        <v>905</v>
      </c>
      <c r="B12" s="620"/>
      <c r="C12" s="620"/>
      <c r="D12" s="620"/>
      <c r="E12" s="620"/>
      <c r="F12" s="620"/>
      <c r="G12" s="620"/>
      <c r="H12" s="620"/>
      <c r="I12" s="331"/>
      <c r="J12" s="331"/>
      <c r="K12" s="331"/>
      <c r="L12" s="331"/>
      <c r="M12" s="331"/>
      <c r="N12" s="331"/>
    </row>
    <row r="13" spans="1:14" s="4" customFormat="1" ht="14.45" x14ac:dyDescent="0.3">
      <c r="A13" s="331"/>
      <c r="B13" s="330"/>
      <c r="C13" s="339"/>
      <c r="D13" s="337"/>
      <c r="E13" s="336"/>
      <c r="F13" s="336"/>
      <c r="G13" s="336"/>
      <c r="H13" s="331"/>
      <c r="I13" s="331"/>
      <c r="J13" s="331"/>
      <c r="K13" s="331"/>
      <c r="L13" s="331"/>
      <c r="M13" s="331"/>
      <c r="N13" s="331"/>
    </row>
    <row r="14" spans="1:14" ht="14.45" x14ac:dyDescent="0.3">
      <c r="A14" s="328"/>
      <c r="B14" s="328"/>
      <c r="C14" s="328"/>
      <c r="D14" s="328"/>
      <c r="E14" s="328"/>
      <c r="F14" s="328"/>
      <c r="G14" s="328"/>
      <c r="H14" s="328"/>
      <c r="I14" s="4"/>
      <c r="K14" s="4"/>
      <c r="L14" s="4"/>
      <c r="M14" s="4"/>
      <c r="N14" s="4"/>
    </row>
    <row r="15" spans="1:14" thickBot="1" x14ac:dyDescent="0.35">
      <c r="I15" s="4"/>
      <c r="K15" s="4"/>
      <c r="L15" s="4"/>
      <c r="M15" s="4"/>
      <c r="N15" s="4"/>
    </row>
    <row r="16" spans="1:14" ht="45.75" thickBot="1" x14ac:dyDescent="0.3">
      <c r="A16" s="353" t="s">
        <v>715</v>
      </c>
      <c r="B16" s="354" t="s">
        <v>716</v>
      </c>
      <c r="C16" s="353" t="s">
        <v>717</v>
      </c>
      <c r="D16" s="360" t="s">
        <v>407</v>
      </c>
      <c r="E16" s="360" t="s">
        <v>415</v>
      </c>
      <c r="F16" s="361" t="s">
        <v>718</v>
      </c>
      <c r="G16" s="361" t="s">
        <v>719</v>
      </c>
      <c r="H16" s="360" t="s">
        <v>720</v>
      </c>
      <c r="I16" s="4"/>
      <c r="K16" s="4"/>
      <c r="L16" s="4"/>
      <c r="M16" s="4"/>
      <c r="N16" s="4"/>
    </row>
    <row r="17" spans="1:14" s="65" customFormat="1" ht="15.75" thickBot="1" x14ac:dyDescent="0.3">
      <c r="A17" s="353">
        <v>1</v>
      </c>
      <c r="B17" s="615" t="s">
        <v>721</v>
      </c>
      <c r="C17" s="615"/>
      <c r="D17" s="615"/>
      <c r="E17" s="615"/>
      <c r="F17" s="615"/>
      <c r="G17" s="615"/>
      <c r="H17" s="616"/>
      <c r="J17" s="298"/>
    </row>
    <row r="18" spans="1:14" x14ac:dyDescent="0.25">
      <c r="A18" s="305"/>
      <c r="B18" s="271" t="s">
        <v>721</v>
      </c>
      <c r="C18" s="271">
        <f>Просчет!H54</f>
        <v>0</v>
      </c>
      <c r="D18" s="206">
        <f>IF(C18&gt;0,1,0)</f>
        <v>0</v>
      </c>
      <c r="E18" s="312" t="s">
        <v>722</v>
      </c>
      <c r="F18" s="278"/>
      <c r="G18" s="278"/>
      <c r="H18" s="207">
        <f>(F18+G18)*D18</f>
        <v>0</v>
      </c>
      <c r="I18" s="4"/>
      <c r="K18" s="4"/>
      <c r="L18" s="4"/>
      <c r="M18" s="4"/>
      <c r="N18" s="4"/>
    </row>
    <row r="19" spans="1:14" s="4" customFormat="1" x14ac:dyDescent="0.25">
      <c r="A19" s="306"/>
      <c r="B19" s="270" t="s">
        <v>893</v>
      </c>
      <c r="C19" s="270" t="str">
        <f>Просчет!A23</f>
        <v>Сетка от грызунов 1*10м</v>
      </c>
      <c r="D19" s="208">
        <f>Просчет!B23</f>
        <v>0</v>
      </c>
      <c r="E19" s="225" t="s">
        <v>722</v>
      </c>
      <c r="F19" s="208">
        <v>219</v>
      </c>
      <c r="G19" s="208">
        <f t="shared" ref="G19:G67" si="0">F19/1.25*0.55</f>
        <v>96.36</v>
      </c>
      <c r="H19" s="209">
        <f t="shared" ref="H19:H67" si="1">(F19+G19)*D19</f>
        <v>0</v>
      </c>
      <c r="J19" s="297"/>
    </row>
    <row r="20" spans="1:14" s="4" customFormat="1" x14ac:dyDescent="0.25">
      <c r="A20" s="306"/>
      <c r="B20" s="270" t="s">
        <v>723</v>
      </c>
      <c r="C20" s="270"/>
      <c r="D20" s="225">
        <f>IF(Просчет!B9&gt;0,1,0)</f>
        <v>0</v>
      </c>
      <c r="E20" s="225" t="s">
        <v>722</v>
      </c>
      <c r="F20" s="249"/>
      <c r="G20" s="208">
        <f t="shared" si="0"/>
        <v>0</v>
      </c>
      <c r="H20" s="209">
        <f t="shared" si="1"/>
        <v>0</v>
      </c>
      <c r="J20" s="297"/>
    </row>
    <row r="21" spans="1:14" s="4" customFormat="1" x14ac:dyDescent="0.25">
      <c r="A21" s="306"/>
      <c r="B21" s="270" t="s">
        <v>732</v>
      </c>
      <c r="C21" s="261" t="s">
        <v>884</v>
      </c>
      <c r="D21" s="255">
        <v>0</v>
      </c>
      <c r="E21" s="255" t="s">
        <v>722</v>
      </c>
      <c r="F21" s="256">
        <v>0</v>
      </c>
      <c r="G21" s="208">
        <f t="shared" si="0"/>
        <v>0</v>
      </c>
      <c r="H21" s="209">
        <f t="shared" si="1"/>
        <v>0</v>
      </c>
      <c r="J21" s="297"/>
    </row>
    <row r="22" spans="1:14" s="4" customFormat="1" ht="30.75" thickBot="1" x14ac:dyDescent="0.3">
      <c r="A22" s="307"/>
      <c r="B22" s="273" t="s">
        <v>732</v>
      </c>
      <c r="C22" s="273" t="str">
        <f>Просчет!A25</f>
        <v>HAUBERK ТЕХНОНИКОЛЬ Терракотовый кирпич</v>
      </c>
      <c r="D22" s="210">
        <f>Просчет!B25</f>
        <v>0</v>
      </c>
      <c r="E22" s="210" t="str">
        <f>Просчет!C25</f>
        <v>м2</v>
      </c>
      <c r="F22" s="283"/>
      <c r="G22" s="210">
        <f t="shared" si="0"/>
        <v>0</v>
      </c>
      <c r="H22" s="211">
        <f t="shared" si="1"/>
        <v>0</v>
      </c>
      <c r="J22" s="297"/>
    </row>
    <row r="23" spans="1:14" s="65" customFormat="1" ht="15.75" thickBot="1" x14ac:dyDescent="0.3">
      <c r="A23" s="353">
        <f>A17+1</f>
        <v>2</v>
      </c>
      <c r="B23" s="615" t="s">
        <v>724</v>
      </c>
      <c r="C23" s="615"/>
      <c r="D23" s="615"/>
      <c r="E23" s="615"/>
      <c r="F23" s="615"/>
      <c r="G23" s="615"/>
      <c r="H23" s="616"/>
      <c r="J23" s="298"/>
    </row>
    <row r="24" spans="1:14" s="4" customFormat="1" ht="14.45" customHeight="1" x14ac:dyDescent="0.25">
      <c r="A24" s="322"/>
      <c r="B24" s="284" t="str">
        <f>_xlfn.TEXTJOIN(", ",,IF(Просчет!I56='Смета в налоговую'!C24,Просчет!H56,""),IF(Просчет!I57='Смета в налоговую'!C24,Просчет!H57,""),IF(Просчет!I58='Смета в налоговую'!C24,Просчет!H58,""),IF(Просчет!I59='Смета в налоговую'!C24,Просчет!H59,""),IF(Просчет!I60='Смета в налоговую'!C24,Просчет!H60,""),IF(Просчет!I61='Смета в налоговую'!C24,Просчет!H61,""),IF(Просчет!I62='Смета в налоговую'!C24,Просчет!H62,""),IF(Просчет!I63='Смета в налоговую'!C24,Просчет!H63,""),IF(Просчет!I64='Смета в налоговую'!C24,Просчет!H64,""),IF(Просчет!I65='Смета в налоговую'!C24,Просчет!H65,""),IF(Просчет!I66='Смета в налоговую'!C24,Просчет!H66,""),IF(Просчет!I67='Смета в налоговую'!C24,Просчет!H67,""),IF(Просчет!I68='Смета в налоговую'!C24,Просчет!H68,""),IF(Просчет!I69='Смета в налоговую'!C24,Просчет!H69,""),IF(Просчет!I70='Смета в налоговую'!C24,Просчет!H70,""),IF(Просчет!I71='Смета в налоговую'!C24,Просчет!H71,""),IF(Просчет!I72='Смета в налоговую'!C24,Просчет!H72,""),IF(Просчет!I73='Смета в налоговую'!C24,Просчет!H73,""),IF(Просчет!I74='Смета в налоговую'!C24,Просчет!H74,""),IF(Просчет!I75='Смета в налоговую'!C24,Просчет!H75,""),IF(Просчет!I76='Смета в налоговую'!C24,Просчет!H76,""),IF(Просчет!I77='Смета в налоговую'!C24,Просчет!H77,""),IF(Просчет!I78='Смета в налоговую'!C24,Просчет!H78,""))</f>
        <v/>
      </c>
      <c r="C24" s="238" t="s">
        <v>737</v>
      </c>
      <c r="D24" s="240">
        <f>0.025*0.05*3*Просчет!B56</f>
        <v>0</v>
      </c>
      <c r="E24" s="285" t="s">
        <v>1</v>
      </c>
      <c r="F24" s="285">
        <v>11500</v>
      </c>
      <c r="G24" s="240">
        <f t="shared" si="0"/>
        <v>5060</v>
      </c>
      <c r="H24" s="241">
        <f>(F24+G24)*D24</f>
        <v>0</v>
      </c>
      <c r="J24" s="297"/>
    </row>
    <row r="25" spans="1:14" s="4" customFormat="1" x14ac:dyDescent="0.25">
      <c r="A25" s="322"/>
      <c r="B25" s="281" t="str">
        <f>_xlfn.TEXTJOIN(", ",,IF(Просчет!I57='Смета в налоговую'!C25,Просчет!H57,""),IF(Просчет!I58='Смета в налоговую'!C25,Просчет!H58,""),IF(Просчет!I59='Смета в налоговую'!C25,Просчет!H59,""),IF(Просчет!I60='Смета в налоговую'!C25,Просчет!H60,""),IF(Просчет!I61='Смета в налоговую'!C25,Просчет!H61,""),IF(Просчет!I62='Смета в налоговую'!C25,Просчет!H62,""),IF(Просчет!I63='Смета в налоговую'!C25,Просчет!H63,""),IF(Просчет!I64='Смета в налоговую'!C25,Просчет!H64,""),IF(Просчет!I65='Смета в налоговую'!C25,Просчет!H65,""),IF(Просчет!I66='Смета в налоговую'!C25,Просчет!H66,""),IF(Просчет!I67='Смета в налоговую'!C25,Просчет!H67,""),IF(Просчет!I68='Смета в налоговую'!C25,Просчет!H68,""),IF(Просчет!I69='Смета в налоговую'!C25,Просчет!H69,""),IF(Просчет!I70='Смета в налоговую'!C25,Просчет!H70,""),IF(Просчет!I71='Смета в налоговую'!C25,Просчет!H71,""),IF(Просчет!I72='Смета в налоговую'!C25,Просчет!H72,""),IF(Просчет!I73='Смета в налоговую'!C25,Просчет!H73,""),IF(Просчет!I74='Смета в налоговую'!C25,Просчет!H74,""),IF(Просчет!I75='Смета в налоговую'!C25,Просчет!H75,""),IF(Просчет!I76='Смета в налоговую'!C25,Просчет!H76,""),IF(Просчет!I77='Смета в налоговую'!C25,Просчет!H77,""),IF(Просчет!I78='Смета в налоговую'!C25,Просчет!H78,""),IF(Просчет!I56='Смета в налоговую'!C25,Просчет!H56,""))</f>
        <v/>
      </c>
      <c r="C25" s="270" t="s">
        <v>728</v>
      </c>
      <c r="D25" s="208">
        <f>0.025*0.1*6*Просчет!B57</f>
        <v>0</v>
      </c>
      <c r="E25" s="225" t="s">
        <v>1</v>
      </c>
      <c r="F25" s="225">
        <v>11500</v>
      </c>
      <c r="G25" s="208">
        <f t="shared" si="0"/>
        <v>5060</v>
      </c>
      <c r="H25" s="209">
        <f t="shared" si="1"/>
        <v>0</v>
      </c>
      <c r="J25" s="297"/>
    </row>
    <row r="26" spans="1:14" s="4" customFormat="1" x14ac:dyDescent="0.25">
      <c r="A26" s="322"/>
      <c r="B26" s="281" t="str">
        <f>_xlfn.TEXTJOIN(", ",,IF(Просчет!I58='Смета в налоговую'!C26,Просчет!H58,""),IF(Просчет!I59='Смета в налоговую'!C26,Просчет!H59,""),IF(Просчет!I60='Смета в налоговую'!C26,Просчет!H60,""),IF(Просчет!I61='Смета в налоговую'!C26,Просчет!H61,""),IF(Просчет!I62='Смета в налоговую'!C26,Просчет!H62,""),IF(Просчет!I63='Смета в налоговую'!C26,Просчет!H63,""),IF(Просчет!I64='Смета в налоговую'!C26,Просчет!H64,""),IF(Просчет!I65='Смета в налоговую'!C26,Просчет!H65,""),IF(Просчет!I66='Смета в налоговую'!C26,Просчет!H66,""),IF(Просчет!I67='Смета в налоговую'!C26,Просчет!H67,""),IF(Просчет!I68='Смета в налоговую'!C26,Просчет!H68,""),IF(Просчет!I69='Смета в налоговую'!C26,Просчет!H69,""),IF(Просчет!I70='Смета в налоговую'!C26,Просчет!H70,""),IF(Просчет!I71='Смета в налоговую'!C26,Просчет!H71,""),IF(Просчет!I72='Смета в налоговую'!C26,Просчет!H72,""),IF(Просчет!I73='Смета в налоговую'!C26,Просчет!H73,""),IF(Просчет!I74='Смета в налоговую'!C26,Просчет!H74,""),IF(Просчет!I75='Смета в налоговую'!C26,Просчет!H75,""),IF(Просчет!I76='Смета в налоговую'!C26,Просчет!H76,""),IF(Просчет!I77='Смета в налоговую'!C26,Просчет!H77,""),IF(Просчет!I78='Смета в налоговую'!C26,Просчет!H78,""),IF(Просчет!I56='Смета в налоговую'!C26,Просчет!H56,""),IF(Просчет!I57='Смета в налоговую'!C26,Просчет!H57,""))</f>
        <v/>
      </c>
      <c r="C26" s="270" t="s">
        <v>741</v>
      </c>
      <c r="D26" s="208">
        <f>0.025*0.1*6*Просчет!B58</f>
        <v>0</v>
      </c>
      <c r="E26" s="225" t="s">
        <v>1</v>
      </c>
      <c r="F26" s="225">
        <v>7125</v>
      </c>
      <c r="G26" s="208">
        <f t="shared" si="0"/>
        <v>3135.0000000000005</v>
      </c>
      <c r="H26" s="209">
        <f t="shared" si="1"/>
        <v>0</v>
      </c>
      <c r="J26" s="297"/>
    </row>
    <row r="27" spans="1:14" s="4" customFormat="1" x14ac:dyDescent="0.25">
      <c r="A27" s="322"/>
      <c r="B27" s="281" t="str">
        <f>_xlfn.TEXTJOIN(", ",,IF(Просчет!I59='Смета в налоговую'!C27,Просчет!H59,""),IF(Просчет!I60='Смета в налоговую'!C27,Просчет!H60,""),IF(Просчет!I61='Смета в налоговую'!C27,Просчет!H61,""),IF(Просчет!I62='Смета в налоговую'!C27,Просчет!H62,""),IF(Просчет!I63='Смета в налоговую'!C27,Просчет!H63,""),IF(Просчет!I64='Смета в налоговую'!C27,Просчет!H64,""),IF(Просчет!I65='Смета в налоговую'!C27,Просчет!H65,""),IF(Просчет!I66='Смета в налоговую'!C27,Просчет!H66,""),IF(Просчет!I67='Смета в налоговую'!C27,Просчет!H67,""),IF(Просчет!I68='Смета в налоговую'!C27,Просчет!H68,""),IF(Просчет!I69='Смета в налоговую'!C27,Просчет!H69,""),IF(Просчет!I70='Смета в налоговую'!C27,Просчет!H70,""),IF(Просчет!I71='Смета в налоговую'!C27,Просчет!H71,""),IF(Просчет!I72='Смета в налоговую'!C27,Просчет!H72,""),IF(Просчет!I73='Смета в налоговую'!C27,Просчет!H73,""),IF(Просчет!I74='Смета в налоговую'!C27,Просчет!H74,""),IF(Просчет!I75='Смета в налоговую'!C27,Просчет!H75,""),IF(Просчет!I76='Смета в налоговую'!C27,Просчет!H76,""),IF(Просчет!I77='Смета в налоговую'!C27,Просчет!H77,""),IF(Просчет!I78='Смета в налоговую'!C27,Просчет!H78,""),IF(Просчет!I56='Смета в налоговую'!C27,Просчет!H56,""),IF(Просчет!I57='Смета в налоговую'!C27,Просчет!H57,""),IF(Просчет!I58='Смета в налоговую'!C27,Просчет!H58,""))</f>
        <v/>
      </c>
      <c r="C27" s="270" t="s">
        <v>738</v>
      </c>
      <c r="D27" s="208">
        <f>0.025*0.15*6*Просчет!B59</f>
        <v>0</v>
      </c>
      <c r="E27" s="225" t="s">
        <v>1</v>
      </c>
      <c r="F27" s="225">
        <v>11500</v>
      </c>
      <c r="G27" s="208">
        <f t="shared" si="0"/>
        <v>5060</v>
      </c>
      <c r="H27" s="209">
        <f t="shared" si="1"/>
        <v>0</v>
      </c>
      <c r="J27" s="297"/>
    </row>
    <row r="28" spans="1:14" s="4" customFormat="1" x14ac:dyDescent="0.25">
      <c r="A28" s="322"/>
      <c r="B28" s="281" t="str">
        <f>_xlfn.TEXTJOIN(", ",,IF(Просчет!I60='Смета в налоговую'!C28,Просчет!H60,""),IF(Просчет!I61='Смета в налоговую'!C28,Просчет!H61,""),IF(Просчет!I62='Смета в налоговую'!C28,Просчет!H62,""),IF(Просчет!I63='Смета в налоговую'!C28,Просчет!H63,""),IF(Просчет!I64='Смета в налоговую'!C28,Просчет!H64,""),IF(Просчет!I65='Смета в налоговую'!C28,Просчет!H65,""),IF(Просчет!I66='Смета в налоговую'!C28,Просчет!H66,""),IF(Просчет!I67='Смета в налоговую'!C28,Просчет!H67,""),IF(Просчет!I68='Смета в налоговую'!C28,Просчет!H68,""),IF(Просчет!I69='Смета в налоговую'!C28,Просчет!H69,""),IF(Просчет!I70='Смета в налоговую'!C28,Просчет!H70,""),IF(Просчет!I71='Смета в налоговую'!C28,Просчет!H71,""),IF(Просчет!I72='Смета в налоговую'!C28,Просчет!H72,""),IF(Просчет!I73='Смета в налоговую'!C28,Просчет!H73,""),IF(Просчет!I74='Смета в налоговую'!C28,Просчет!H74,""),IF(Просчет!I75='Смета в налоговую'!C28,Просчет!H75,""),IF(Просчет!I76='Смета в налоговую'!C28,Просчет!H76,""),IF(Просчет!I77='Смета в налоговую'!C28,Просчет!H77,""),IF(Просчет!I78='Смета в налоговую'!C28,Просчет!H78,""),IF(Просчет!I56='Смета в налоговую'!C28,Просчет!H56,""),IF(Просчет!I57='Смета в налоговую'!C28,Просчет!H57,""),IF(Просчет!I58='Смета в налоговую'!C28,Просчет!H58,""),IF(Просчет!I59='Смета в налоговую'!C28,Просчет!H59,""))</f>
        <v/>
      </c>
      <c r="C28" s="270" t="s">
        <v>739</v>
      </c>
      <c r="D28" s="208">
        <f>0.025*0.2*6*Просчет!B60</f>
        <v>0</v>
      </c>
      <c r="E28" s="225" t="s">
        <v>1</v>
      </c>
      <c r="F28" s="225">
        <v>11500</v>
      </c>
      <c r="G28" s="208">
        <f t="shared" si="0"/>
        <v>5060</v>
      </c>
      <c r="H28" s="209">
        <f t="shared" si="1"/>
        <v>0</v>
      </c>
      <c r="J28" s="297"/>
    </row>
    <row r="29" spans="1:14" s="4" customFormat="1" x14ac:dyDescent="0.25">
      <c r="A29" s="322"/>
      <c r="B29" s="281" t="str">
        <f>_xlfn.TEXTJOIN(", ",,IF(Просчет!I61='Смета в налоговую'!C29,Просчет!H61,""),IF(Просчет!I62='Смета в налоговую'!C29,Просчет!H62,""),IF(Просчет!I63='Смета в налоговую'!C29,Просчет!H63,""),IF(Просчет!I64='Смета в налоговую'!C29,Просчет!H64,""),IF(Просчет!I65='Смета в налоговую'!C29,Просчет!H65,""),IF(Просчет!I66='Смета в налоговую'!C29,Просчет!H66,""),IF(Просчет!I67='Смета в налоговую'!C29,Просчет!H67,""),IF(Просчет!I68='Смета в налоговую'!C29,Просчет!H68,""),IF(Просчет!I69='Смета в налоговую'!C29,Просчет!H69,""),IF(Просчет!I70='Смета в налоговую'!C29,Просчет!H70,""),IF(Просчет!I71='Смета в налоговую'!C29,Просчет!H71,""),IF(Просчет!I72='Смета в налоговую'!C29,Просчет!H72,""),IF(Просчет!I73='Смета в налоговую'!C29,Просчет!H73,""),IF(Просчет!I74='Смета в налоговую'!C29,Просчет!H74,""),IF(Просчет!I75='Смета в налоговую'!C29,Просчет!H75,""),IF(Просчет!I76='Смета в налоговую'!C29,Просчет!H76,""),IF(Просчет!I77='Смета в налоговую'!C29,Просчет!H77,""),IF(Просчет!I78='Смета в налоговую'!C29,Просчет!H78,""),IF(Просчет!I56='Смета в налоговую'!C29,Просчет!H56,""),IF(Просчет!I57='Смета в налоговую'!C29,Просчет!H57,""),IF(Просчет!I58='Смета в налоговую'!C29,Просчет!H58,""),IF(Просчет!I59='Смета в налоговую'!C29,Просчет!H59,""),IF(Просчет!I60='Смета в налоговую'!C29,Просчет!H60,""))</f>
        <v/>
      </c>
      <c r="C29" s="270" t="s">
        <v>729</v>
      </c>
      <c r="D29" s="208">
        <f>0.04*0.05*3*Просчет!B61</f>
        <v>0</v>
      </c>
      <c r="E29" s="225" t="s">
        <v>1</v>
      </c>
      <c r="F29" s="225">
        <v>11500</v>
      </c>
      <c r="G29" s="208">
        <f t="shared" si="0"/>
        <v>5060</v>
      </c>
      <c r="H29" s="209">
        <f t="shared" si="1"/>
        <v>0</v>
      </c>
      <c r="J29" s="297"/>
    </row>
    <row r="30" spans="1:14" s="4" customFormat="1" x14ac:dyDescent="0.25">
      <c r="A30" s="322"/>
      <c r="B30" s="281" t="str">
        <f>_xlfn.TEXTJOIN(", ",,IF(Просчет!I62='Смета в налоговую'!C30,Просчет!H62,""),IF(Просчет!I63='Смета в налоговую'!C30,Просчет!H63,""),IF(Просчет!I64='Смета в налоговую'!C30,Просчет!H64,""),IF(Просчет!I65='Смета в налоговую'!C30,Просчет!H65,""),IF(Просчет!I66='Смета в налоговую'!C30,Просчет!H66,""),IF(Просчет!I67='Смета в налоговую'!C30,Просчет!H67,""),IF(Просчет!I68='Смета в налоговую'!C30,Просчет!H68,""),IF(Просчет!I69='Смета в налоговую'!C30,Просчет!H69,""),IF(Просчет!I70='Смета в налоговую'!C30,Просчет!H70,""),IF(Просчет!I71='Смета в налоговую'!C30,Просчет!H71,""),IF(Просчет!I72='Смета в налоговую'!C30,Просчет!H72,""),IF(Просчет!I73='Смета в налоговую'!C30,Просчет!H73,""),IF(Просчет!I74='Смета в налоговую'!C30,Просчет!H74,""),IF(Просчет!I75='Смета в налоговую'!C30,Просчет!H75,""),IF(Просчет!I76='Смета в налоговую'!C30,Просчет!H76,""),IF(Просчет!I77='Смета в налоговую'!C30,Просчет!H77,""),IF(Просчет!I78='Смета в налоговую'!C30,Просчет!H78,""),IF(Просчет!I56='Смета в налоговую'!C30,Просчет!H56,""),IF(Просчет!I57='Смета в налоговую'!C30,Просчет!H57,""),IF(Просчет!I58='Смета в налоговую'!C30,Просчет!H58,""),IF(Просчет!I59='Смета в налоговую'!C30,Просчет!H59,""),IF(Просчет!I60='Смета в налоговую'!C30,Просчет!H60,""),IF(Просчет!I61='Смета в налоговую'!C30,Просчет!H61,""))</f>
        <v/>
      </c>
      <c r="C30" s="270" t="s">
        <v>740</v>
      </c>
      <c r="D30" s="208">
        <f>0.05*0.05*3*Просчет!B62</f>
        <v>0</v>
      </c>
      <c r="E30" s="225" t="s">
        <v>1</v>
      </c>
      <c r="F30" s="225">
        <v>11500</v>
      </c>
      <c r="G30" s="208">
        <f t="shared" si="0"/>
        <v>5060</v>
      </c>
      <c r="H30" s="209">
        <f t="shared" si="1"/>
        <v>0</v>
      </c>
      <c r="J30" s="297"/>
    </row>
    <row r="31" spans="1:14" s="4" customFormat="1" x14ac:dyDescent="0.25">
      <c r="A31" s="322"/>
      <c r="B31" s="281" t="str">
        <f>_xlfn.TEXTJOIN(", ",,IF(Просчет!I63='Смета в налоговую'!C31,Просчет!H63,""),IF(Просчет!I64='Смета в налоговую'!C31,Просчет!H64,""),IF(Просчет!I65='Смета в налоговую'!C31,Просчет!H65,""),IF(Просчет!I66='Смета в налоговую'!C31,Просчет!H66,""),IF(Просчет!I67='Смета в налоговую'!C31,Просчет!H67,""),IF(Просчет!I68='Смета в налоговую'!C31,Просчет!H68,""),IF(Просчет!I69='Смета в налоговую'!C31,Просчет!H69,""),IF(Просчет!I70='Смета в налоговую'!C31,Просчет!H70,""),IF(Просчет!I71='Смета в налоговую'!C31,Просчет!H71,""),IF(Просчет!I72='Смета в налоговую'!C31,Просчет!H72,""),IF(Просчет!I73='Смета в налоговую'!C31,Просчет!H73,""),IF(Просчет!I74='Смета в налоговую'!C31,Просчет!H74,""),IF(Просчет!I75='Смета в налоговую'!C31,Просчет!H75,""),IF(Просчет!I76='Смета в налоговую'!C31,Просчет!H76,""),IF(Просчет!I77='Смета в налоговую'!C31,Просчет!H77,""),IF(Просчет!I78='Смета в налоговую'!C31,Просчет!H78,""),IF(Просчет!I56='Смета в налоговую'!C31,Просчет!H56,""),IF(Просчет!I57='Смета в налоговую'!C31,Просчет!H57,""),IF(Просчет!I58='Смета в налоговую'!C31,Просчет!H58,""),IF(Просчет!I59='Смета в налоговую'!C31,Просчет!H59,""),IF(Просчет!I60='Смета в налоговую'!C31,Просчет!H60,""),IF(Просчет!I61='Смета в налоговую'!C31,Просчет!H61,""),IF(Просчет!I62='Смета в налоговую'!C31,Просчет!H62,""))</f>
        <v/>
      </c>
      <c r="C31" s="270" t="s">
        <v>730</v>
      </c>
      <c r="D31" s="208">
        <f>0.05*0.1*6*(Просчет!B63+Просчет!B32)</f>
        <v>0</v>
      </c>
      <c r="E31" s="225" t="s">
        <v>1</v>
      </c>
      <c r="F31" s="225">
        <v>11500</v>
      </c>
      <c r="G31" s="208">
        <f t="shared" si="0"/>
        <v>5060</v>
      </c>
      <c r="H31" s="209">
        <f t="shared" si="1"/>
        <v>0</v>
      </c>
      <c r="J31" s="297"/>
    </row>
    <row r="32" spans="1:14" s="4" customFormat="1" x14ac:dyDescent="0.25">
      <c r="A32" s="322"/>
      <c r="B32" s="281" t="str">
        <f>_xlfn.TEXTJOIN(", ",,IF(Просчет!I64='Смета в налоговую'!C32,Просчет!H64,""),IF(Просчет!I65='Смета в налоговую'!C32,Просчет!H65,""),IF(Просчет!I66='Смета в налоговую'!C32,Просчет!H66,""),IF(Просчет!I67='Смета в налоговую'!C32,Просчет!H67,""),IF(Просчет!I68='Смета в налоговую'!C32,Просчет!H68,""),IF(Просчет!I69='Смета в налоговую'!C32,Просчет!H69,""),IF(Просчет!I70='Смета в налоговую'!C32,Просчет!H70,""),IF(Просчет!I71='Смета в налоговую'!C32,Просчет!H71,""),IF(Просчет!I72='Смета в налоговую'!C32,Просчет!H72,""),IF(Просчет!I73='Смета в налоговую'!C32,Просчет!H73,""),IF(Просчет!I74='Смета в налоговую'!C32,Просчет!H74,""),IF(Просчет!I75='Смета в налоговую'!C32,Просчет!H75,""),IF(Просчет!I76='Смета в налоговую'!C32,Просчет!H76,""),IF(Просчет!I77='Смета в налоговую'!C32,Просчет!H77,""),IF(Просчет!I78='Смета в налоговую'!C32,Просчет!H78,""),IF(Просчет!I56='Смета в налоговую'!C32,Просчет!H56,""),IF(Просчет!I57='Смета в налоговую'!C32,Просчет!H57,""),IF(Просчет!I58='Смета в налоговую'!C32,Просчет!H58,""),IF(Просчет!I59='Смета в налоговую'!C32,Просчет!H59,""),IF(Просчет!I60='Смета в налоговую'!C32,Просчет!H60,""),IF(Просчет!I61='Смета в налоговую'!C32,Просчет!H61,""),IF(Просчет!I62='Смета в налоговую'!C32,Просчет!H62,""),IF(Просчет!I63='Смета в налоговую'!C32,Просчет!H63,""))</f>
        <v/>
      </c>
      <c r="C32" s="270" t="s">
        <v>727</v>
      </c>
      <c r="D32" s="208">
        <f>0.05*0.15*6*(Просчет!B64+Просчет!B33)</f>
        <v>0</v>
      </c>
      <c r="E32" s="225" t="s">
        <v>1</v>
      </c>
      <c r="F32" s="225">
        <v>11500</v>
      </c>
      <c r="G32" s="208">
        <f t="shared" si="0"/>
        <v>5060</v>
      </c>
      <c r="H32" s="209">
        <f t="shared" si="1"/>
        <v>0</v>
      </c>
      <c r="J32" s="297"/>
    </row>
    <row r="33" spans="1:10" s="4" customFormat="1" x14ac:dyDescent="0.25">
      <c r="A33" s="322"/>
      <c r="B33" s="281" t="str">
        <f>_xlfn.TEXTJOIN(", ",,IF(Просчет!I65='Смета в налоговую'!C33,Просчет!H65,""),IF(Просчет!I66='Смета в налоговую'!C33,Просчет!H66,""),IF(Просчет!I67='Смета в налоговую'!C33,Просчет!H67,""),IF(Просчет!I68='Смета в налоговую'!C33,Просчет!H68,""),IF(Просчет!I69='Смета в налоговую'!C33,Просчет!H69,""),IF(Просчет!I70='Смета в налоговую'!C33,Просчет!H70,""),IF(Просчет!I71='Смета в налоговую'!C33,Просчет!H71,""),IF(Просчет!I72='Смета в налоговую'!C33,Просчет!H72,""),IF(Просчет!I73='Смета в налоговую'!C33,Просчет!H73,""),IF(Просчет!I74='Смета в налоговую'!C33,Просчет!H74,""),IF(Просчет!I75='Смета в налоговую'!C33,Просчет!H75,""),IF(Просчет!I76='Смета в налоговую'!C33,Просчет!H76,""),IF(Просчет!I77='Смета в налоговую'!C33,Просчет!H77,""),IF(Просчет!I78='Смета в налоговую'!C33,Просчет!H78,""),IF(Просчет!I56='Смета в налоговую'!C33,Просчет!H56,""),IF(Просчет!I57='Смета в налоговую'!C33,Просчет!H57,""),IF(Просчет!I58='Смета в налоговую'!C33,Просчет!H58,""),IF(Просчет!I59='Смета в налоговую'!C33,Просчет!H59,""),IF(Просчет!I60='Смета в налоговую'!C33,Просчет!H60,""),IF(Просчет!I61='Смета в налоговую'!C33,Просчет!H61,""),IF(Просчет!I62='Смета в налоговую'!C33,Просчет!H62,""),IF(Просчет!I63='Смета в налоговую'!C33,Просчет!H63,""),IF(Просчет!I64='Смета в налоговую'!C33,Просчет!H64,""))</f>
        <v/>
      </c>
      <c r="C33" s="270" t="s">
        <v>726</v>
      </c>
      <c r="D33" s="208">
        <f>0.05*0.2*6*(Просчет!B65+Просчет!B34)</f>
        <v>0</v>
      </c>
      <c r="E33" s="225" t="s">
        <v>1</v>
      </c>
      <c r="F33" s="225">
        <v>11500</v>
      </c>
      <c r="G33" s="208">
        <f t="shared" si="0"/>
        <v>5060</v>
      </c>
      <c r="H33" s="209">
        <f t="shared" si="1"/>
        <v>0</v>
      </c>
      <c r="J33" s="297"/>
    </row>
    <row r="34" spans="1:10" s="4" customFormat="1" x14ac:dyDescent="0.25">
      <c r="A34" s="322"/>
      <c r="B34" s="281" t="str">
        <f>_xlfn.TEXTJOIN(", ",,IF(Просчет!I66='Смета в налоговую'!C34,Просчет!H66,""),IF(Просчет!I67='Смета в налоговую'!C34,Просчет!H67,""),IF(Просчет!I68='Смета в налоговую'!C34,Просчет!H68,""),IF(Просчет!I69='Смета в налоговую'!C34,Просчет!H69,""),IF(Просчет!I70='Смета в налоговую'!C34,Просчет!H70,""),IF(Просчет!I71='Смета в налоговую'!C34,Просчет!H71,""),IF(Просчет!I72='Смета в налоговую'!C34,Просчет!H72,""),IF(Просчет!I73='Смета в налоговую'!C34,Просчет!H73,""),IF(Просчет!I74='Смета в налоговую'!C34,Просчет!H74,""),IF(Просчет!I75='Смета в налоговую'!C34,Просчет!H75,""),IF(Просчет!I76='Смета в налоговую'!C34,Просчет!H76,""),IF(Просчет!I77='Смета в налоговую'!C34,Просчет!H77,""),IF(Просчет!I78='Смета в налоговую'!C34,Просчет!H78,""),IF(Просчет!I56='Смета в налоговую'!C34,Просчет!H56,""),IF(Просчет!I57='Смета в налоговую'!C34,Просчет!H57,""),IF(Просчет!I58='Смета в налоговую'!C34,Просчет!H58,""),IF(Просчет!I59='Смета в налоговую'!C34,Просчет!H59,""),IF(Просчет!I60='Смета в налоговую'!C34,Просчет!H60,""),IF(Просчет!I61='Смета в налоговую'!C34,Просчет!H61,""),IF(Просчет!I62='Смета в налоговую'!C34,Просчет!H62,""),IF(Просчет!I63='Смета в налоговую'!C34,Просчет!H63,""),IF(Просчет!I64='Смета в налоговую'!C34,Просчет!H64,""),IF(Просчет!I65='Смета в налоговую'!C34,Просчет!H65,""))</f>
        <v/>
      </c>
      <c r="C34" s="270" t="s">
        <v>733</v>
      </c>
      <c r="D34" s="208">
        <f>0.1*0.1*6*(Просчет!B66+Просчет!B35)</f>
        <v>0</v>
      </c>
      <c r="E34" s="225" t="s">
        <v>1</v>
      </c>
      <c r="F34" s="225">
        <v>11500</v>
      </c>
      <c r="G34" s="208">
        <f t="shared" si="0"/>
        <v>5060</v>
      </c>
      <c r="H34" s="209">
        <f t="shared" si="1"/>
        <v>0</v>
      </c>
      <c r="J34" s="297"/>
    </row>
    <row r="35" spans="1:10" s="4" customFormat="1" x14ac:dyDescent="0.25">
      <c r="A35" s="322"/>
      <c r="B35" s="281" t="str">
        <f>_xlfn.TEXTJOIN(", ",,IF(Просчет!I67='Смета в налоговую'!C35,Просчет!H67,""),IF(Просчет!I68='Смета в налоговую'!C35,Просчет!H68,""),IF(Просчет!I69='Смета в налоговую'!C35,Просчет!H69,""),IF(Просчет!I70='Смета в налоговую'!C35,Просчет!H70,""),IF(Просчет!I71='Смета в налоговую'!C35,Просчет!H71,""),IF(Просчет!I72='Смета в налоговую'!C35,Просчет!H72,""),IF(Просчет!I73='Смета в налоговую'!C35,Просчет!H73,""),IF(Просчет!I74='Смета в налоговую'!C35,Просчет!H74,""),IF(Просчет!I75='Смета в налоговую'!C35,Просчет!H75,""),IF(Просчет!I76='Смета в налоговую'!C35,Просчет!H76,""),IF(Просчет!I77='Смета в налоговую'!C35,Просчет!H77,""),IF(Просчет!I78='Смета в налоговую'!C35,Просчет!H78,""),IF(Просчет!I56='Смета в налоговую'!C35,Просчет!H56,""),IF(Просчет!I57='Смета в налоговую'!C35,Просчет!H57,""),IF(Просчет!I58='Смета в налоговую'!C35,Просчет!H58,""),IF(Просчет!I59='Смета в налоговую'!C35,Просчет!H59,""),IF(Просчет!I60='Смета в налоговую'!C35,Просчет!H60,""),IF(Просчет!I61='Смета в налоговую'!C35,Просчет!H61,""),IF(Просчет!I62='Смета в налоговую'!C35,Просчет!H62,""),IF(Просчет!I63='Смета в налоговую'!C35,Просчет!H63,""),IF(Просчет!I64='Смета в налоговую'!C35,Просчет!H64,""),IF(Просчет!I65='Смета в налоговую'!C35,Просчет!H65,""),IF(Просчет!I66='Смета в налоговую'!C35,Просчет!H66,""))</f>
        <v/>
      </c>
      <c r="C35" s="270" t="s">
        <v>734</v>
      </c>
      <c r="D35" s="208">
        <f>0.1*0.15*6*(Просчет!B67+Просчет!B36)</f>
        <v>0</v>
      </c>
      <c r="E35" s="225" t="s">
        <v>1</v>
      </c>
      <c r="F35" s="225">
        <v>11500</v>
      </c>
      <c r="G35" s="208">
        <f t="shared" si="0"/>
        <v>5060</v>
      </c>
      <c r="H35" s="209">
        <f t="shared" si="1"/>
        <v>0</v>
      </c>
      <c r="J35" s="297"/>
    </row>
    <row r="36" spans="1:10" s="4" customFormat="1" x14ac:dyDescent="0.25">
      <c r="A36" s="322"/>
      <c r="B36" s="281" t="str">
        <f>_xlfn.TEXTJOIN(", ",,IF(Просчет!I68='Смета в налоговую'!C36,Просчет!H68,""),IF(Просчет!I69='Смета в налоговую'!C36,Просчет!H69,""),IF(Просчет!I70='Смета в налоговую'!C36,Просчет!H70,""),IF(Просчет!I71='Смета в налоговую'!C36,Просчет!H71,""),IF(Просчет!I72='Смета в налоговую'!C36,Просчет!H72,""),IF(Просчет!I73='Смета в налоговую'!C36,Просчет!H73,""),IF(Просчет!I74='Смета в налоговую'!C36,Просчет!H74,""),IF(Просчет!I75='Смета в налоговую'!C36,Просчет!H75,""),IF(Просчет!I76='Смета в налоговую'!C36,Просчет!H76,""),IF(Просчет!I77='Смета в налоговую'!C36,Просчет!H77,""),IF(Просчет!I78='Смета в налоговую'!C36,Просчет!H78,""),IF(Просчет!I56='Смета в налоговую'!C36,Просчет!H56,""),IF(Просчет!I57='Смета в налоговую'!C36,Просчет!H57,""),IF(Просчет!I58='Смета в налоговую'!C36,Просчет!H58,""),IF(Просчет!I59='Смета в налоговую'!C36,Просчет!H59,""),IF(Просчет!I60='Смета в налоговую'!C36,Просчет!H60,""),IF(Просчет!I61='Смета в налоговую'!C36,Просчет!H61,""),IF(Просчет!I62='Смета в налоговую'!C36,Просчет!H62,""),IF(Просчет!I63='Смета в налоговую'!C36,Просчет!H63,""),IF(Просчет!I64='Смета в налоговую'!C36,Просчет!H64,""),IF(Просчет!I65='Смета в налоговую'!C36,Просчет!H65,""),IF(Просчет!I66='Смета в налоговую'!C36,Просчет!H66,""),IF(Просчет!I67='Смета в налоговую'!C36,Просчет!H67,""))</f>
        <v/>
      </c>
      <c r="C36" s="270" t="s">
        <v>735</v>
      </c>
      <c r="D36" s="208">
        <f>0.1*0.2*6*(Просчет!B68+Просчет!B37)</f>
        <v>0</v>
      </c>
      <c r="E36" s="225" t="s">
        <v>1</v>
      </c>
      <c r="F36" s="225">
        <v>11500</v>
      </c>
      <c r="G36" s="208">
        <f t="shared" si="0"/>
        <v>5060</v>
      </c>
      <c r="H36" s="209">
        <f t="shared" si="1"/>
        <v>0</v>
      </c>
      <c r="J36" s="297"/>
    </row>
    <row r="37" spans="1:10" s="4" customFormat="1" x14ac:dyDescent="0.25">
      <c r="A37" s="322"/>
      <c r="B37" s="281" t="str">
        <f>_xlfn.TEXTJOIN(", ",,IF(Просчет!I69='Смета в налоговую'!C37,Просчет!H69,""),IF(Просчет!I70='Смета в налоговую'!C37,Просчет!H70,""),IF(Просчет!I71='Смета в налоговую'!C37,Просчет!H71,""),IF(Просчет!I72='Смета в налоговую'!C37,Просчет!H72,""),IF(Просчет!I73='Смета в налоговую'!C37,Просчет!H73,""),IF(Просчет!I74='Смета в налоговую'!C37,Просчет!H74,""),IF(Просчет!I75='Смета в налоговую'!C37,Просчет!H75,""),IF(Просчет!I76='Смета в налоговую'!C37,Просчет!H76,""),IF(Просчет!I77='Смета в налоговую'!C37,Просчет!H77,""),IF(Просчет!I78='Смета в налоговую'!C37,Просчет!H78,""),IF(Просчет!I56='Смета в налоговую'!C37,Просчет!H56,""),IF(Просчет!I57='Смета в налоговую'!C37,Просчет!H57,""),IF(Просчет!I58='Смета в налоговую'!C37,Просчет!H58,""),IF(Просчет!I59='Смета в налоговую'!C37,Просчет!H59,""),IF(Просчет!I60='Смета в налоговую'!C37,Просчет!H60,""),IF(Просчет!I61='Смета в налоговую'!C37,Просчет!H61,""),IF(Просчет!I62='Смета в налоговую'!C37,Просчет!H62,""),IF(Просчет!I63='Смета в налоговую'!C37,Просчет!H63,""),IF(Просчет!I64='Смета в налоговую'!C37,Просчет!H64,""),IF(Просчет!I65='Смета в налоговую'!C37,Просчет!H65,""),IF(Просчет!I66='Смета в налоговую'!C37,Просчет!H66,""),IF(Просчет!I67='Смета в налоговую'!C37,Просчет!H67,""),IF(Просчет!I68='Смета в налоговую'!C37,Просчет!H68,""))</f>
        <v/>
      </c>
      <c r="C37" s="270" t="s">
        <v>731</v>
      </c>
      <c r="D37" s="208">
        <f>0.15*0.15*6*(Просчет!B69+Просчет!B38)</f>
        <v>0</v>
      </c>
      <c r="E37" s="225" t="s">
        <v>1</v>
      </c>
      <c r="F37" s="225">
        <v>11500</v>
      </c>
      <c r="G37" s="208">
        <f t="shared" si="0"/>
        <v>5060</v>
      </c>
      <c r="H37" s="209">
        <f t="shared" si="1"/>
        <v>0</v>
      </c>
      <c r="J37" s="297"/>
    </row>
    <row r="38" spans="1:10" s="4" customFormat="1" x14ac:dyDescent="0.25">
      <c r="A38" s="322"/>
      <c r="B38" s="281" t="str">
        <f>_xlfn.TEXTJOIN(", ",,IF(Просчет!I70='Смета в налоговую'!C38,Просчет!H70,""),IF(Просчет!I71='Смета в налоговую'!C38,Просчет!H71,""),IF(Просчет!I72='Смета в налоговую'!C38,Просчет!H72,""),IF(Просчет!I73='Смета в налоговую'!C38,Просчет!H73,""),IF(Просчет!I74='Смета в налоговую'!C38,Просчет!H74,""),IF(Просчет!I75='Смета в налоговую'!C38,Просчет!H75,""),IF(Просчет!I76='Смета в налоговую'!C38,Просчет!H76,""),IF(Просчет!I77='Смета в налоговую'!C38,Просчет!H77,""),IF(Просчет!I78='Смета в налоговую'!C38,Просчет!H78,""),IF(Просчет!I56='Смета в налоговую'!C38,Просчет!H56,""),IF(Просчет!I57='Смета в налоговую'!C38,Просчет!H57,""),IF(Просчет!I58='Смета в налоговую'!C38,Просчет!H58,""),IF(Просчет!I59='Смета в налоговую'!C38,Просчет!H59,""),IF(Просчет!I60='Смета в налоговую'!C38,Просчет!H60,""),IF(Просчет!I61='Смета в налоговую'!C38,Просчет!H61,""),IF(Просчет!I62='Смета в налоговую'!C38,Просчет!H62,""),IF(Просчет!I63='Смета в налоговую'!C38,Просчет!H63,""),IF(Просчет!I64='Смета в налоговую'!C38,Просчет!H64,""),IF(Просчет!I65='Смета в налоговую'!C38,Просчет!H65,""),IF(Просчет!I66='Смета в налоговую'!C38,Просчет!H66,""),IF(Просчет!I67='Смета в налоговую'!C38,Просчет!H67,""),IF(Просчет!I68='Смета в налоговую'!C38,Просчет!H68,""),IF(Просчет!I69='Смета в налоговую'!C38,Просчет!H69,""))</f>
        <v/>
      </c>
      <c r="C38" s="270" t="s">
        <v>725</v>
      </c>
      <c r="D38" s="208">
        <f>0.15*0.2*6*(Просчет!B70+Просчет!B39)</f>
        <v>0</v>
      </c>
      <c r="E38" s="225" t="s">
        <v>1</v>
      </c>
      <c r="F38" s="225">
        <v>11500</v>
      </c>
      <c r="G38" s="208">
        <f t="shared" si="0"/>
        <v>5060</v>
      </c>
      <c r="H38" s="209">
        <f t="shared" si="1"/>
        <v>0</v>
      </c>
      <c r="J38" s="297"/>
    </row>
    <row r="39" spans="1:10" s="4" customFormat="1" x14ac:dyDescent="0.25">
      <c r="A39" s="322"/>
      <c r="B39" s="281" t="str">
        <f>_xlfn.TEXTJOIN(", ",,IF(Просчет!I71='Смета в налоговую'!C39,Просчет!H71,""),IF(Просчет!I72='Смета в налоговую'!C39,Просчет!H72,""),IF(Просчет!I73='Смета в налоговую'!C39,Просчет!H73,""),IF(Просчет!I74='Смета в налоговую'!C39,Просчет!H74,""),IF(Просчет!I75='Смета в налоговую'!C39,Просчет!H75,""),IF(Просчет!I76='Смета в налоговую'!C39,Просчет!H76,""),IF(Просчет!I77='Смета в налоговую'!C39,Просчет!H77,""),IF(Просчет!I78='Смета в налоговую'!C39,Просчет!H78,""),IF(Просчет!I56='Смета в налоговую'!C39,Просчет!H56,""),IF(Просчет!I57='Смета в налоговую'!C39,Просчет!H57,""),IF(Просчет!I58='Смета в налоговую'!C39,Просчет!H58,""),IF(Просчет!I59='Смета в налоговую'!C39,Просчет!H59,""),IF(Просчет!I60='Смета в налоговую'!C39,Просчет!H60,""),IF(Просчет!I61='Смета в налоговую'!C39,Просчет!H61,""),IF(Просчет!I62='Смета в налоговую'!C39,Просчет!H62,""),IF(Просчет!I63='Смета в налоговую'!C39,Просчет!H63,""),IF(Просчет!I64='Смета в налоговую'!C39,Просчет!H64,""),IF(Просчет!I65='Смета в налоговую'!C39,Просчет!H65,""),IF(Просчет!I66='Смета в налоговую'!C39,Просчет!H66,""),IF(Просчет!I67='Смета в налоговую'!C39,Просчет!H67,""),IF(Просчет!I68='Смета в налоговую'!C39,Просчет!H68,""),IF(Просчет!I69='Смета в налоговую'!C39,Просчет!H69,""),IF(Просчет!I70='Смета в налоговую'!C39,Просчет!H70,""))</f>
        <v/>
      </c>
      <c r="C39" s="270" t="s">
        <v>736</v>
      </c>
      <c r="D39" s="208">
        <f>0.2*0.2*6*(Просчет!B71+Просчет!B40)</f>
        <v>0</v>
      </c>
      <c r="E39" s="225" t="s">
        <v>1</v>
      </c>
      <c r="F39" s="225">
        <v>11500</v>
      </c>
      <c r="G39" s="208">
        <f t="shared" si="0"/>
        <v>5060</v>
      </c>
      <c r="H39" s="209">
        <f t="shared" si="1"/>
        <v>0</v>
      </c>
      <c r="J39" s="297"/>
    </row>
    <row r="40" spans="1:10" s="4" customFormat="1" x14ac:dyDescent="0.25">
      <c r="A40" s="322"/>
      <c r="B40" s="281" t="str">
        <f>_xlfn.TEXTJOIN(", ",,IF(Просчет!I72='Смета в налоговую'!C40,Просчет!H72,""),IF(Просчет!I73='Смета в налоговую'!C40,Просчет!H73,""),IF(Просчет!I74='Смета в налоговую'!C40,Просчет!H74,""),IF(Просчет!I75='Смета в налоговую'!C40,Просчет!H75,""),IF(Просчет!I76='Смета в налоговую'!C40,Просчет!H76,""),IF(Просчет!I77='Смета в налоговую'!C40,Просчет!H77,""),IF(Просчет!I78='Смета в налоговую'!C40,Просчет!H78,""),IF(Просчет!I56='Смета в налоговую'!C40,Просчет!H56,""),IF(Просчет!I57='Смета в налоговую'!C40,Просчет!H57,""),IF(Просчет!I58='Смета в налоговую'!C40,Просчет!H58,""),IF(Просчет!I59='Смета в налоговую'!C40,Просчет!H59,""),IF(Просчет!I60='Смета в налоговую'!C40,Просчет!H60,""),IF(Просчет!I61='Смета в налоговую'!C40,Просчет!H61,""),IF(Просчет!I62='Смета в налоговую'!C40,Просчет!H62,""),IF(Просчет!I63='Смета в налоговую'!C40,Просчет!H63,""),IF(Просчет!I64='Смета в налоговую'!C40,Просчет!H64,""),IF(Просчет!I65='Смета в налоговую'!C40,Просчет!H65,""),IF(Просчет!I66='Смета в налоговую'!C40,Просчет!H66,""),IF(Просчет!I67='Смета в налоговую'!C40,Просчет!H67,""),IF(Просчет!I68='Смета в налоговую'!C40,Просчет!H68,""),IF(Просчет!I69='Смета в налоговую'!C40,Просчет!H69,""),IF(Просчет!I70='Смета в налоговую'!C40,Просчет!H70,""),IF(Просчет!I71='Смета в налоговую'!C40,Просчет!H71,""))</f>
        <v/>
      </c>
      <c r="C40" s="270" t="s">
        <v>830</v>
      </c>
      <c r="D40" s="208">
        <f>0.025*0.05*3*Просчет!B73</f>
        <v>0</v>
      </c>
      <c r="E40" s="225" t="s">
        <v>1</v>
      </c>
      <c r="F40" s="225">
        <v>13500</v>
      </c>
      <c r="G40" s="208">
        <f t="shared" si="0"/>
        <v>5940.0000000000009</v>
      </c>
      <c r="H40" s="209">
        <f t="shared" si="1"/>
        <v>0</v>
      </c>
      <c r="J40" s="297"/>
    </row>
    <row r="41" spans="1:10" s="4" customFormat="1" x14ac:dyDescent="0.25">
      <c r="A41" s="322"/>
      <c r="B41" s="281" t="str">
        <f>_xlfn.TEXTJOIN(", ",,IF(Просчет!I73='Смета в налоговую'!C41,Просчет!H73,""),IF(Просчет!I74='Смета в налоговую'!C41,Просчет!H74,""),IF(Просчет!I75='Смета в налоговую'!C41,Просчет!H75,""),IF(Просчет!I76='Смета в налоговую'!C41,Просчет!H76,""),IF(Просчет!I77='Смета в налоговую'!C41,Просчет!H77,""),IF(Просчет!I78='Смета в налоговую'!C41,Просчет!H78,""),IF(Просчет!I56='Смета в налоговую'!C41,Просчет!H56,""),IF(Просчет!I57='Смета в налоговую'!C41,Просчет!H57,""),IF(Просчет!I58='Смета в налоговую'!C41,Просчет!H58,""),IF(Просчет!I59='Смета в налоговую'!C41,Просчет!H59,""),IF(Просчет!I60='Смета в налоговую'!C41,Просчет!H60,""),IF(Просчет!I61='Смета в налоговую'!C41,Просчет!H61,""),IF(Просчет!I62='Смета в налоговую'!C41,Просчет!H62,""),IF(Просчет!I63='Смета в налоговую'!C41,Просчет!H63,""),IF(Просчет!I64='Смета в налоговую'!C41,Просчет!H64,""),IF(Просчет!I65='Смета в налоговую'!C41,Просчет!H65,""),IF(Просчет!I66='Смета в налоговую'!C41,Просчет!H66,""),IF(Просчет!I67='Смета в налоговую'!C41,Просчет!H67,""),IF(Просчет!I68='Смета в налоговую'!C41,Просчет!H68,""),IF(Просчет!I69='Смета в налоговую'!C41,Просчет!H69,""),IF(Просчет!I70='Смета в налоговую'!C41,Просчет!H70,""),IF(Просчет!I71='Смета в налоговую'!C41,Просчет!H71,""),IF(Просчет!I72='Смета в налоговую'!C41,Просчет!H72,""))</f>
        <v/>
      </c>
      <c r="C41" s="270" t="s">
        <v>831</v>
      </c>
      <c r="D41" s="208">
        <f>0.025*0.1*6*Просчет!B74</f>
        <v>0</v>
      </c>
      <c r="E41" s="225" t="s">
        <v>1</v>
      </c>
      <c r="F41" s="225">
        <v>13500</v>
      </c>
      <c r="G41" s="208">
        <f t="shared" si="0"/>
        <v>5940.0000000000009</v>
      </c>
      <c r="H41" s="209">
        <f t="shared" si="1"/>
        <v>0</v>
      </c>
      <c r="J41" s="297"/>
    </row>
    <row r="42" spans="1:10" s="4" customFormat="1" ht="30" x14ac:dyDescent="0.25">
      <c r="A42" s="322"/>
      <c r="B42" s="281" t="str">
        <f>_xlfn.TEXTJOIN(", ",,IF(Просчет!I74='Смета в налоговую'!C42,Просчет!H74,""),IF(Просчет!I75='Смета в налоговую'!C42,Просчет!H75,""),IF(Просчет!I76='Смета в налоговую'!C42,Просчет!H76,""),IF(Просчет!I77='Смета в налоговую'!C42,Просчет!H77,""),IF(Просчет!I78='Смета в налоговую'!C42,Просчет!H78,""),IF(Просчет!I56='Смета в налоговую'!C42,Просчет!H56,""),IF(Просчет!I57='Смета в налоговую'!C42,Просчет!H57,""),IF(Просчет!I58='Смета в налоговую'!C42,Просчет!H58,""),IF(Просчет!I59='Смета в налоговую'!C42,Просчет!H59,""),IF(Просчет!I60='Смета в налоговую'!C42,Просчет!H60,""),IF(Просчет!I61='Смета в налоговую'!C42,Просчет!H61,""),IF(Просчет!I62='Смета в налоговую'!C42,Просчет!H62,""),IF(Просчет!I63='Смета в налоговую'!C42,Просчет!H63,""),IF(Просчет!I64='Смета в налоговую'!C42,Просчет!H64,""),IF(Просчет!I65='Смета в налоговую'!C42,Просчет!H65,""),IF(Просчет!I66='Смета в налоговую'!C42,Просчет!H66,""),IF(Просчет!I67='Смета в налоговую'!C42,Просчет!H67,""),IF(Просчет!I68='Смета в налоговую'!C42,Просчет!H68,""),IF(Просчет!I69='Смета в налоговую'!C42,Просчет!H69,""),IF(Просчет!I70='Смета в налоговую'!C42,Просчет!H70,""),IF(Просчет!I71='Смета в налоговую'!C42,Просчет!H71,""),IF(Просчет!I72='Смета в налоговую'!C42,Просчет!H72,""),IF(Просчет!I73='Смета в налоговую'!C42,Просчет!H73,""))</f>
        <v/>
      </c>
      <c r="C42" s="270" t="s">
        <v>832</v>
      </c>
      <c r="D42" s="208">
        <f>0.025*0.1*6*Просчет!B75</f>
        <v>0</v>
      </c>
      <c r="E42" s="225" t="s">
        <v>1</v>
      </c>
      <c r="F42" s="225">
        <v>9125</v>
      </c>
      <c r="G42" s="208">
        <f t="shared" si="0"/>
        <v>4015.0000000000005</v>
      </c>
      <c r="H42" s="209">
        <f t="shared" si="1"/>
        <v>0</v>
      </c>
      <c r="J42" s="297"/>
    </row>
    <row r="43" spans="1:10" s="4" customFormat="1" x14ac:dyDescent="0.25">
      <c r="A43" s="322"/>
      <c r="B43" s="281" t="str">
        <f>_xlfn.TEXTJOIN(", ",,IF(Просчет!I75='Смета в налоговую'!C43,Просчет!H75,""),IF(Просчет!I76='Смета в налоговую'!C43,Просчет!H76,""),IF(Просчет!I77='Смета в налоговую'!C43,Просчет!H77,""),IF(Просчет!I78='Смета в налоговую'!C43,Просчет!H78,""),IF(Просчет!I56='Смета в налоговую'!C43,Просчет!H56,""),IF(Просчет!I57='Смета в налоговую'!C43,Просчет!H57,""),IF(Просчет!I58='Смета в налоговую'!C43,Просчет!H58,""),IF(Просчет!I59='Смета в налоговую'!C43,Просчет!H59,""),IF(Просчет!I60='Смета в налоговую'!C43,Просчет!H60,""),IF(Просчет!I61='Смета в налоговую'!C43,Просчет!H61,""),IF(Просчет!I62='Смета в налоговую'!C43,Просчет!H62,""),IF(Просчет!I63='Смета в налоговую'!C43,Просчет!H63,""),IF(Просчет!I64='Смета в налоговую'!C43,Просчет!H64,""),IF(Просчет!I65='Смета в налоговую'!C43,Просчет!H65,""),IF(Просчет!I66='Смета в налоговую'!C43,Просчет!H66,""),IF(Просчет!I67='Смета в налоговую'!C43,Просчет!H67,""),IF(Просчет!I68='Смета в налоговую'!C43,Просчет!H68,""),IF(Просчет!I69='Смета в налоговую'!C43,Просчет!H69,""),IF(Просчет!I70='Смета в налоговую'!C43,Просчет!H70,""),IF(Просчет!I71='Смета в налоговую'!C43,Просчет!H71,""),IF(Просчет!I72='Смета в налоговую'!C43,Просчет!H72,""),IF(Просчет!I73='Смета в налоговую'!C43,Просчет!H73,""),IF(Просчет!I74='Смета в налоговую'!C43,Просчет!H74,""))</f>
        <v/>
      </c>
      <c r="C43" s="270" t="s">
        <v>833</v>
      </c>
      <c r="D43" s="208">
        <f>0.025*0.15*6*Просчет!B76</f>
        <v>0</v>
      </c>
      <c r="E43" s="225" t="s">
        <v>1</v>
      </c>
      <c r="F43" s="225">
        <v>13500</v>
      </c>
      <c r="G43" s="208">
        <f t="shared" si="0"/>
        <v>5940.0000000000009</v>
      </c>
      <c r="H43" s="209">
        <f t="shared" si="1"/>
        <v>0</v>
      </c>
      <c r="J43" s="297"/>
    </row>
    <row r="44" spans="1:10" s="4" customFormat="1" x14ac:dyDescent="0.25">
      <c r="A44" s="322"/>
      <c r="B44" s="281" t="str">
        <f>_xlfn.TEXTJOIN(", ",,IF(Просчет!I76='Смета в налоговую'!C44,Просчет!H76,""),IF(Просчет!I77='Смета в налоговую'!C44,Просчет!H77,""),IF(Просчет!I78='Смета в налоговую'!C44,Просчет!H78,""),IF(Просчет!I56='Смета в налоговую'!C44,Просчет!H56,""),IF(Просчет!I57='Смета в налоговую'!C44,Просчет!H57,""),IF(Просчет!I58='Смета в налоговую'!C44,Просчет!H58,""),IF(Просчет!I59='Смета в налоговую'!C44,Просчет!H59,""),IF(Просчет!I60='Смета в налоговую'!C44,Просчет!H60,""),IF(Просчет!I61='Смета в налоговую'!C44,Просчет!H61,""),IF(Просчет!I62='Смета в налоговую'!C44,Просчет!H62,""),IF(Просчет!I63='Смета в налоговую'!C44,Просчет!H63,""),IF(Просчет!I64='Смета в налоговую'!C44,Просчет!H64,""),IF(Просчет!I65='Смета в налоговую'!C44,Просчет!H65,""),IF(Просчет!I66='Смета в налоговую'!C44,Просчет!H66,""),IF(Просчет!I67='Смета в налоговую'!C44,Просчет!H67,""),IF(Просчет!I68='Смета в налоговую'!C44,Просчет!H68,""),IF(Просчет!I69='Смета в налоговую'!C44,Просчет!H69,""),IF(Просчет!I70='Смета в налоговую'!C44,Просчет!H70,""),IF(Просчет!I71='Смета в налоговую'!C44,Просчет!H71,""),IF(Просчет!I72='Смета в налоговую'!C44,Просчет!H72,""),IF(Просчет!I73='Смета в налоговую'!C44,Просчет!H73,""),IF(Просчет!I74='Смета в налоговую'!C44,Просчет!H74,""),IF(Просчет!I75='Смета в налоговую'!C44,Просчет!H75,""))</f>
        <v/>
      </c>
      <c r="C44" s="270" t="s">
        <v>834</v>
      </c>
      <c r="D44" s="208">
        <f>0.025*0.2*6*Просчет!B77</f>
        <v>0</v>
      </c>
      <c r="E44" s="225" t="s">
        <v>1</v>
      </c>
      <c r="F44" s="225">
        <v>13500</v>
      </c>
      <c r="G44" s="208">
        <f t="shared" si="0"/>
        <v>5940.0000000000009</v>
      </c>
      <c r="H44" s="209">
        <f t="shared" si="1"/>
        <v>0</v>
      </c>
      <c r="J44" s="297"/>
    </row>
    <row r="45" spans="1:10" s="4" customFormat="1" x14ac:dyDescent="0.25">
      <c r="A45" s="322"/>
      <c r="B45" s="281" t="str">
        <f>_xlfn.TEXTJOIN(", ",,IF(Просчет!I77='Смета в налоговую'!C45,Просчет!H77,""),IF(Просчет!I78='Смета в налоговую'!C45,Просчет!H78,""),IF(Просчет!I56='Смета в налоговую'!C45,Просчет!H56,""),IF(Просчет!I57='Смета в налоговую'!C45,Просчет!H57,""),IF(Просчет!I58='Смета в налоговую'!C45,Просчет!H58,""),IF(Просчет!I59='Смета в налоговую'!C45,Просчет!H59,""),IF(Просчет!I60='Смета в налоговую'!C45,Просчет!H60,""),IF(Просчет!I61='Смета в налоговую'!C45,Просчет!H61,""),IF(Просчет!I62='Смета в налоговую'!C45,Просчет!H62,""),IF(Просчет!I63='Смета в налоговую'!C45,Просчет!H63,""),IF(Просчет!I64='Смета в налоговую'!C45,Просчет!H64,""),IF(Просчет!I65='Смета в налоговую'!C45,Просчет!H65,""),IF(Просчет!I66='Смета в налоговую'!C45,Просчет!H66,""),IF(Просчет!I67='Смета в налоговую'!C45,Просчет!H67,""),IF(Просчет!I68='Смета в налоговую'!C45,Просчет!H68,""),IF(Просчет!I69='Смета в налоговую'!C45,Просчет!H69,""),IF(Просчет!I70='Смета в налоговую'!C45,Просчет!H70,""),IF(Просчет!I71='Смета в налоговую'!C45,Просчет!H71,""),IF(Просчет!I72='Смета в налоговую'!C45,Просчет!H72,""),IF(Просчет!I73='Смета в налоговую'!C45,Просчет!H73,""),IF(Просчет!I74='Смета в налоговую'!C45,Просчет!H74,""),IF(Просчет!I75='Смета в налоговую'!C45,Просчет!H75,""),IF(Просчет!I76='Смета в налоговую'!C45,Просчет!H76,""))</f>
        <v/>
      </c>
      <c r="C45" s="270" t="s">
        <v>835</v>
      </c>
      <c r="D45" s="208">
        <f>0.04*0.05*3*Просчет!B78</f>
        <v>0</v>
      </c>
      <c r="E45" s="225" t="s">
        <v>1</v>
      </c>
      <c r="F45" s="225">
        <v>13500</v>
      </c>
      <c r="G45" s="208">
        <f t="shared" si="0"/>
        <v>5940.0000000000009</v>
      </c>
      <c r="H45" s="209">
        <f t="shared" si="1"/>
        <v>0</v>
      </c>
      <c r="J45" s="297"/>
    </row>
    <row r="46" spans="1:10" s="4" customFormat="1" x14ac:dyDescent="0.25">
      <c r="A46" s="322"/>
      <c r="B46" s="281" t="str">
        <f>_xlfn.TEXTJOIN(", ",,IF(Просчет!I78='Смета в налоговую'!C46,Просчет!H78,""),IF(Просчет!I56='Смета в налоговую'!C46,Просчет!H56,""),IF(Просчет!I57='Смета в налоговую'!C46,Просчет!H57,""),IF(Просчет!I58='Смета в налоговую'!C46,Просчет!H58,""),IF(Просчет!I59='Смета в налоговую'!C46,Просчет!H59,""),IF(Просчет!I60='Смета в налоговую'!C46,Просчет!H60,""),IF(Просчет!I61='Смета в налоговую'!C46,Просчет!H61,""),IF(Просчет!I62='Смета в налоговую'!C46,Просчет!H62,""),IF(Просчет!I63='Смета в налоговую'!C46,Просчет!H63,""),IF(Просчет!I64='Смета в налоговую'!C46,Просчет!H64,""),IF(Просчет!I65='Смета в налоговую'!C46,Просчет!H65,""),IF(Просчет!I66='Смета в налоговую'!C46,Просчет!H66,""),IF(Просчет!I67='Смета в налоговую'!C46,Просчет!H67,""),IF(Просчет!I68='Смета в налоговую'!C46,Просчет!H68,""),IF(Просчет!I69='Смета в налоговую'!C46,Просчет!H69,""),IF(Просчет!I70='Смета в налоговую'!C46,Просчет!H70,""),IF(Просчет!I71='Смета в налоговую'!C46,Просчет!H71,""),IF(Просчет!I72='Смета в налоговую'!C46,Просчет!H72,""),IF(Просчет!I73='Смета в налоговую'!C46,Просчет!H73,""),IF(Просчет!I74='Смета в налоговую'!C46,Просчет!H74,""),IF(Просчет!I75='Смета в налоговую'!C46,Просчет!H75,""),IF(Просчет!I76='Смета в налоговую'!C46,Просчет!H76,""),IF(Просчет!I77='Смета в налоговую'!C46,Просчет!H77,""))</f>
        <v/>
      </c>
      <c r="C46" s="270" t="s">
        <v>836</v>
      </c>
      <c r="D46" s="208">
        <f>0.05*0.05*3*Просчет!B79</f>
        <v>0</v>
      </c>
      <c r="E46" s="225" t="s">
        <v>1</v>
      </c>
      <c r="F46" s="225">
        <v>13500</v>
      </c>
      <c r="G46" s="208">
        <f t="shared" si="0"/>
        <v>5940.0000000000009</v>
      </c>
      <c r="H46" s="209">
        <f t="shared" si="1"/>
        <v>0</v>
      </c>
      <c r="J46" s="297"/>
    </row>
    <row r="47" spans="1:10" s="4" customFormat="1" x14ac:dyDescent="0.25">
      <c r="A47" s="322"/>
      <c r="B47" s="281" t="str">
        <f>_xlfn.TEXTJOIN(", ",,IF(Просчет!I56='Смета в налоговую'!C47,Просчет!H56,""),IF(Просчет!I57='Смета в налоговую'!C47,Просчет!H57,""),IF(Просчет!I58='Смета в налоговую'!C47,Просчет!H58,""),IF(Просчет!I59='Смета в налоговую'!C47,Просчет!H59,""),IF(Просчет!I60='Смета в налоговую'!C47,Просчет!H60,""),IF(Просчет!I61='Смета в налоговую'!C47,Просчет!H61,""),IF(Просчет!I62='Смета в налоговую'!C47,Просчет!H62,""),IF(Просчет!I63='Смета в налоговую'!C47,Просчет!H63,""),IF(Просчет!I64='Смета в налоговую'!C47,Просчет!H64,""),IF(Просчет!I65='Смета в налоговую'!C47,Просчет!H65,""),IF(Просчет!I66='Смета в налоговую'!C47,Просчет!H66,""),IF(Просчет!I67='Смета в налоговую'!C47,Просчет!H67,""),IF(Просчет!I68='Смета в налоговую'!C47,Просчет!H68,""),IF(Просчет!I69='Смета в налоговую'!C47,Просчет!H69,""),IF(Просчет!I70='Смета в налоговую'!C47,Просчет!H70,""),IF(Просчет!I71='Смета в налоговую'!C47,Просчет!H71,""),IF(Просчет!I72='Смета в налоговую'!C47,Просчет!H72,""),IF(Просчет!I73='Смета в налоговую'!C47,Просчет!H73,""),IF(Просчет!I74='Смета в налоговую'!C47,Просчет!H74,""),IF(Просчет!I75='Смета в налоговую'!C47,Просчет!H75,""),IF(Просчет!I76='Смета в налоговую'!C47,Просчет!H76,""),IF(Просчет!I77='Смета в налоговую'!C47,Просчет!H77,""),IF(Просчет!I78='Смета в налоговую'!C47,Просчет!H78,""))</f>
        <v/>
      </c>
      <c r="C47" s="270" t="s">
        <v>837</v>
      </c>
      <c r="D47" s="208">
        <f>0.05*0.1*6*(Просчет!B80+Просчет!B41)</f>
        <v>0</v>
      </c>
      <c r="E47" s="225" t="s">
        <v>1</v>
      </c>
      <c r="F47" s="225">
        <v>13500</v>
      </c>
      <c r="G47" s="208">
        <f t="shared" si="0"/>
        <v>5940.0000000000009</v>
      </c>
      <c r="H47" s="209">
        <f t="shared" si="1"/>
        <v>0</v>
      </c>
      <c r="J47" s="297"/>
    </row>
    <row r="48" spans="1:10" s="4" customFormat="1" x14ac:dyDescent="0.25">
      <c r="A48" s="322"/>
      <c r="B48" s="281" t="str">
        <f>_xlfn.TEXTJOIN(", ",,IF(Просчет!I57='Смета в налоговую'!C48,Просчет!H57,""),IF(Просчет!I58='Смета в налоговую'!C48,Просчет!H58,""),IF(Просчет!I59='Смета в налоговую'!C48,Просчет!H59,""),IF(Просчет!I60='Смета в налоговую'!C48,Просчет!H60,""),IF(Просчет!I61='Смета в налоговую'!C48,Просчет!H61,""),IF(Просчет!I62='Смета в налоговую'!C48,Просчет!H62,""),IF(Просчет!I63='Смета в налоговую'!C48,Просчет!H63,""),IF(Просчет!I64='Смета в налоговую'!C48,Просчет!H64,""),IF(Просчет!I65='Смета в налоговую'!C48,Просчет!H65,""),IF(Просчет!I66='Смета в налоговую'!C48,Просчет!H66,""),IF(Просчет!I67='Смета в налоговую'!C48,Просчет!H67,""),IF(Просчет!I68='Смета в налоговую'!C48,Просчет!H68,""),IF(Просчет!I69='Смета в налоговую'!C48,Просчет!H69,""),IF(Просчет!I70='Смета в налоговую'!C48,Просчет!H70,""),IF(Просчет!I71='Смета в налоговую'!C48,Просчет!H71,""),IF(Просчет!I72='Смета в налоговую'!C48,Просчет!H72,""),IF(Просчет!I73='Смета в налоговую'!C48,Просчет!H73,""),IF(Просчет!I74='Смета в налоговую'!C48,Просчет!H74,""),IF(Просчет!I75='Смета в налоговую'!C48,Просчет!H75,""),IF(Просчет!I76='Смета в налоговую'!C48,Просчет!H76,""),IF(Просчет!I77='Смета в налоговую'!C48,Просчет!H77,""),IF(Просчет!I78='Смета в налоговую'!C48,Просчет!H78,""),IF(Просчет!I56='Смета в налоговую'!C48,Просчет!H56,""))</f>
        <v/>
      </c>
      <c r="C48" s="270" t="s">
        <v>838</v>
      </c>
      <c r="D48" s="208">
        <f>0.05*0.15*6*(Просчет!B81+Просчет!B42)</f>
        <v>0</v>
      </c>
      <c r="E48" s="225" t="s">
        <v>1</v>
      </c>
      <c r="F48" s="225">
        <v>13500</v>
      </c>
      <c r="G48" s="208">
        <f t="shared" si="0"/>
        <v>5940.0000000000009</v>
      </c>
      <c r="H48" s="209">
        <f t="shared" si="1"/>
        <v>0</v>
      </c>
      <c r="J48" s="297"/>
    </row>
    <row r="49" spans="1:10" s="4" customFormat="1" x14ac:dyDescent="0.25">
      <c r="A49" s="322"/>
      <c r="B49" s="281" t="str">
        <f>_xlfn.TEXTJOIN(", ",,IF(Просчет!I58='Смета в налоговую'!C49,Просчет!H58,""),IF(Просчет!I59='Смета в налоговую'!C49,Просчет!H59,""),IF(Просчет!I60='Смета в налоговую'!C49,Просчет!H60,""),IF(Просчет!I61='Смета в налоговую'!C49,Просчет!H61,""),IF(Просчет!I62='Смета в налоговую'!C49,Просчет!H62,""),IF(Просчет!I63='Смета в налоговую'!C49,Просчет!H63,""),IF(Просчет!I64='Смета в налоговую'!C49,Просчет!H64,""),IF(Просчет!I65='Смета в налоговую'!C49,Просчет!H65,""),IF(Просчет!I66='Смета в налоговую'!C49,Просчет!H66,""),IF(Просчет!I67='Смета в налоговую'!C49,Просчет!H67,""),IF(Просчет!I68='Смета в налоговую'!C49,Просчет!H68,""),IF(Просчет!I69='Смета в налоговую'!C49,Просчет!H69,""),IF(Просчет!I70='Смета в налоговую'!C49,Просчет!H70,""),IF(Просчет!I71='Смета в налоговую'!C49,Просчет!H71,""),IF(Просчет!I72='Смета в налоговую'!C49,Просчет!H72,""),IF(Просчет!I73='Смета в налоговую'!C49,Просчет!H73,""),IF(Просчет!I74='Смета в налоговую'!C49,Просчет!H74,""),IF(Просчет!I75='Смета в налоговую'!C49,Просчет!H75,""),IF(Просчет!I76='Смета в налоговую'!C49,Просчет!H76,""),IF(Просчет!I77='Смета в налоговую'!C49,Просчет!H77,""),IF(Просчет!I78='Смета в налоговую'!C49,Просчет!H78,""),IF(Просчет!I56='Смета в налоговую'!C49,Просчет!H56,""),IF(Просчет!I57='Смета в налоговую'!C49,Просчет!H57,""))</f>
        <v/>
      </c>
      <c r="C49" s="270" t="s">
        <v>839</v>
      </c>
      <c r="D49" s="208">
        <f>0.05*0.2*6*(Просчет!B82+Просчет!B43)</f>
        <v>0</v>
      </c>
      <c r="E49" s="225" t="s">
        <v>1</v>
      </c>
      <c r="F49" s="225">
        <v>13500</v>
      </c>
      <c r="G49" s="208">
        <f t="shared" si="0"/>
        <v>5940.0000000000009</v>
      </c>
      <c r="H49" s="209">
        <f t="shared" si="1"/>
        <v>0</v>
      </c>
      <c r="J49" s="297"/>
    </row>
    <row r="50" spans="1:10" s="4" customFormat="1" ht="30" x14ac:dyDescent="0.25">
      <c r="A50" s="322"/>
      <c r="B50" s="281" t="str">
        <f>_xlfn.TEXTJOIN(", ",,IF(Просчет!I59='Смета в налоговую'!C50,Просчет!H59,""),IF(Просчет!I60='Смета в налоговую'!C50,Просчет!H60,""),IF(Просчет!I61='Смета в налоговую'!C50,Просчет!H61,""),IF(Просчет!I62='Смета в налоговую'!C50,Просчет!H62,""),IF(Просчет!I63='Смета в налоговую'!C50,Просчет!H63,""),IF(Просчет!I64='Смета в налоговую'!C50,Просчет!H64,""),IF(Просчет!I65='Смета в налоговую'!C50,Просчет!H65,""),IF(Просчет!I66='Смета в налоговую'!C50,Просчет!H66,""),IF(Просчет!I67='Смета в налоговую'!C50,Просчет!H67,""),IF(Просчет!I68='Смета в налоговую'!C50,Просчет!H68,""),IF(Просчет!I69='Смета в налоговую'!C50,Просчет!H69,""),IF(Просчет!I70='Смета в налоговую'!C50,Просчет!H70,""),IF(Просчет!I71='Смета в налоговую'!C50,Просчет!H71,""),IF(Просчет!I72='Смета в налоговую'!C50,Просчет!H72,""),IF(Просчет!I73='Смета в налоговую'!C50,Просчет!H73,""),IF(Просчет!I74='Смета в налоговую'!C50,Просчет!H74,""),IF(Просчет!I75='Смета в налоговую'!C50,Просчет!H75,""),IF(Просчет!I76='Смета в налоговую'!C50,Просчет!H76,""),IF(Просчет!I77='Смета в налоговую'!C50,Просчет!H77,""),IF(Просчет!I78='Смета в налоговую'!C50,Просчет!H78,""),IF(Просчет!I56='Смета в налоговую'!C50,Просчет!H56,""),IF(Просчет!I57='Смета в налоговую'!C50,Просчет!H57,""),IF(Просчет!I58='Смета в налоговую'!C50,Просчет!H58,""))</f>
        <v/>
      </c>
      <c r="C50" s="270" t="s">
        <v>840</v>
      </c>
      <c r="D50" s="208">
        <f>0.1*0.1*6*(Просчет!B83+Просчет!B44)</f>
        <v>0</v>
      </c>
      <c r="E50" s="225" t="s">
        <v>1</v>
      </c>
      <c r="F50" s="225">
        <v>13500</v>
      </c>
      <c r="G50" s="208">
        <f t="shared" si="0"/>
        <v>5940.0000000000009</v>
      </c>
      <c r="H50" s="209">
        <f t="shared" si="1"/>
        <v>0</v>
      </c>
      <c r="J50" s="297"/>
    </row>
    <row r="51" spans="1:10" s="4" customFormat="1" ht="30" x14ac:dyDescent="0.25">
      <c r="A51" s="322"/>
      <c r="B51" s="281" t="str">
        <f>_xlfn.TEXTJOIN(", ",,IF(Просчет!I60='Смета в налоговую'!C51,Просчет!H60,""),IF(Просчет!I61='Смета в налоговую'!C51,Просчет!H61,""),IF(Просчет!I62='Смета в налоговую'!C51,Просчет!H62,""),IF(Просчет!I63='Смета в налоговую'!C51,Просчет!H63,""),IF(Просчет!I64='Смета в налоговую'!C51,Просчет!H64,""),IF(Просчет!I65='Смета в налоговую'!C51,Просчет!H65,""),IF(Просчет!I66='Смета в налоговую'!C51,Просчет!H66,""),IF(Просчет!I67='Смета в налоговую'!C51,Просчет!H67,""),IF(Просчет!I68='Смета в налоговую'!C51,Просчет!H68,""),IF(Просчет!I69='Смета в налоговую'!C51,Просчет!H69,""),IF(Просчет!I70='Смета в налоговую'!C51,Просчет!H70,""),IF(Просчет!I71='Смета в налоговую'!C51,Просчет!H71,""),IF(Просчет!I72='Смета в налоговую'!C51,Просчет!H72,""),IF(Просчет!I73='Смета в налоговую'!C51,Просчет!H73,""),IF(Просчет!I74='Смета в налоговую'!C51,Просчет!H74,""),IF(Просчет!I75='Смета в налоговую'!C51,Просчет!H75,""),IF(Просчет!I76='Смета в налоговую'!C51,Просчет!H76,""),IF(Просчет!I77='Смета в налоговую'!C51,Просчет!H77,""),IF(Просчет!I78='Смета в налоговую'!C51,Просчет!H78,""),IF(Просчет!I56='Смета в налоговую'!C51,Просчет!H56,""),IF(Просчет!I57='Смета в налоговую'!C51,Просчет!H57,""),IF(Просчет!I58='Смета в налоговую'!C51,Просчет!H58,""),IF(Просчет!I59='Смета в налоговую'!C51,Просчет!H59,""))</f>
        <v/>
      </c>
      <c r="C51" s="270" t="s">
        <v>841</v>
      </c>
      <c r="D51" s="208">
        <f>0.1*0.15*6*(Просчет!B84+Просчет!B45)</f>
        <v>0</v>
      </c>
      <c r="E51" s="225" t="s">
        <v>1</v>
      </c>
      <c r="F51" s="225">
        <v>13500</v>
      </c>
      <c r="G51" s="208">
        <f t="shared" si="0"/>
        <v>5940.0000000000009</v>
      </c>
      <c r="H51" s="209">
        <f t="shared" si="1"/>
        <v>0</v>
      </c>
      <c r="J51" s="297"/>
    </row>
    <row r="52" spans="1:10" s="4" customFormat="1" ht="30" x14ac:dyDescent="0.25">
      <c r="A52" s="322"/>
      <c r="B52" s="281" t="str">
        <f>_xlfn.TEXTJOIN(", ",,IF(Просчет!I61='Смета в налоговую'!C52,Просчет!H61,""),IF(Просчет!I62='Смета в налоговую'!C52,Просчет!H62,""),IF(Просчет!I63='Смета в налоговую'!C52,Просчет!H63,""),IF(Просчет!I64='Смета в налоговую'!C52,Просчет!H64,""),IF(Просчет!I65='Смета в налоговую'!C52,Просчет!H65,""),IF(Просчет!I66='Смета в налоговую'!C52,Просчет!H66,""),IF(Просчет!I67='Смета в налоговую'!C52,Просчет!H67,""),IF(Просчет!I68='Смета в налоговую'!C52,Просчет!H68,""),IF(Просчет!I69='Смета в налоговую'!C52,Просчет!H69,""),IF(Просчет!I70='Смета в налоговую'!C52,Просчет!H70,""),IF(Просчет!I71='Смета в налоговую'!C52,Просчет!H71,""),IF(Просчет!I72='Смета в налоговую'!C52,Просчет!H72,""),IF(Просчет!I73='Смета в налоговую'!C52,Просчет!H73,""),IF(Просчет!I74='Смета в налоговую'!C52,Просчет!H74,""),IF(Просчет!I75='Смета в налоговую'!C52,Просчет!H75,""),IF(Просчет!I76='Смета в налоговую'!C52,Просчет!H76,""),IF(Просчет!I77='Смета в налоговую'!C52,Просчет!H77,""),IF(Просчет!I78='Смета в налоговую'!C52,Просчет!H78,""),IF(Просчет!I56='Смета в налоговую'!C52,Просчет!H56,""),IF(Просчет!I57='Смета в налоговую'!C52,Просчет!H57,""),IF(Просчет!I58='Смета в налоговую'!C52,Просчет!H58,""),IF(Просчет!I59='Смета в налоговую'!C52,Просчет!H59,""),IF(Просчет!I60='Смета в налоговую'!C52,Просчет!H60,""))</f>
        <v/>
      </c>
      <c r="C52" s="270" t="s">
        <v>842</v>
      </c>
      <c r="D52" s="208">
        <f>0.1*0.2*6*(Просчет!B85+Просчет!B46)</f>
        <v>0</v>
      </c>
      <c r="E52" s="225" t="s">
        <v>1</v>
      </c>
      <c r="F52" s="225">
        <v>13500</v>
      </c>
      <c r="G52" s="208">
        <f t="shared" si="0"/>
        <v>5940.0000000000009</v>
      </c>
      <c r="H52" s="209">
        <f t="shared" si="1"/>
        <v>0</v>
      </c>
      <c r="J52" s="297"/>
    </row>
    <row r="53" spans="1:10" s="4" customFormat="1" ht="30" x14ac:dyDescent="0.25">
      <c r="A53" s="322"/>
      <c r="B53" s="281" t="str">
        <f>_xlfn.TEXTJOIN(", ",,IF(Просчет!I62='Смета в налоговую'!C53,Просчет!H62,""),IF(Просчет!I63='Смета в налоговую'!C53,Просчет!H63,""),IF(Просчет!I64='Смета в налоговую'!C53,Просчет!H64,""),IF(Просчет!I65='Смета в налоговую'!C53,Просчет!H65,""),IF(Просчет!I66='Смета в налоговую'!C53,Просчет!H66,""),IF(Просчет!I67='Смета в налоговую'!C53,Просчет!H67,""),IF(Просчет!I68='Смета в налоговую'!C53,Просчет!H68,""),IF(Просчет!I69='Смета в налоговую'!C53,Просчет!H69,""),IF(Просчет!I70='Смета в налоговую'!C53,Просчет!H70,""),IF(Просчет!I71='Смета в налоговую'!C53,Просчет!H71,""),IF(Просчет!I72='Смета в налоговую'!C53,Просчет!H72,""),IF(Просчет!I73='Смета в налоговую'!C53,Просчет!H73,""),IF(Просчет!I74='Смета в налоговую'!C53,Просчет!H74,""),IF(Просчет!I75='Смета в налоговую'!C53,Просчет!H75,""),IF(Просчет!I76='Смета в налоговую'!C53,Просчет!H76,""),IF(Просчет!I77='Смета в налоговую'!C53,Просчет!H77,""),IF(Просчет!I78='Смета в налоговую'!C53,Просчет!H78,""),IF(Просчет!I56='Смета в налоговую'!C53,Просчет!H56,""),IF(Просчет!I57='Смета в налоговую'!C53,Просчет!H57,""),IF(Просчет!I58='Смета в налоговую'!C53,Просчет!H58,""),IF(Просчет!I59='Смета в налоговую'!C53,Просчет!H59,""),IF(Просчет!I60='Смета в налоговую'!C53,Просчет!H60,""),IF(Просчет!I61='Смета в налоговую'!C53,Просчет!H61,""))</f>
        <v/>
      </c>
      <c r="C53" s="270" t="s">
        <v>843</v>
      </c>
      <c r="D53" s="208">
        <f>0.15*0.15*6*(Просчет!B86+Просчет!B47)</f>
        <v>0</v>
      </c>
      <c r="E53" s="225" t="s">
        <v>1</v>
      </c>
      <c r="F53" s="225">
        <v>13500</v>
      </c>
      <c r="G53" s="208">
        <f t="shared" si="0"/>
        <v>5940.0000000000009</v>
      </c>
      <c r="H53" s="209">
        <f t="shared" si="1"/>
        <v>0</v>
      </c>
      <c r="J53" s="297"/>
    </row>
    <row r="54" spans="1:10" s="4" customFormat="1" ht="30" x14ac:dyDescent="0.25">
      <c r="A54" s="322"/>
      <c r="B54" s="281" t="str">
        <f>_xlfn.TEXTJOIN(", ",,IF(Просчет!I63='Смета в налоговую'!C54,Просчет!H63,""),IF(Просчет!I64='Смета в налоговую'!C54,Просчет!H64,""),IF(Просчет!I65='Смета в налоговую'!C54,Просчет!H65,""),IF(Просчет!I66='Смета в налоговую'!C54,Просчет!H66,""),IF(Просчет!I67='Смета в налоговую'!C54,Просчет!H67,""),IF(Просчет!I68='Смета в налоговую'!C54,Просчет!H68,""),IF(Просчет!I69='Смета в налоговую'!C54,Просчет!H69,""),IF(Просчет!I70='Смета в налоговую'!C54,Просчет!H70,""),IF(Просчет!I71='Смета в налоговую'!C54,Просчет!H71,""),IF(Просчет!I72='Смета в налоговую'!C54,Просчет!H72,""),IF(Просчет!I73='Смета в налоговую'!C54,Просчет!H73,""),IF(Просчет!I74='Смета в налоговую'!C54,Просчет!H74,""),IF(Просчет!I75='Смета в налоговую'!C54,Просчет!H75,""),IF(Просчет!I76='Смета в налоговую'!C54,Просчет!H76,""),IF(Просчет!I77='Смета в налоговую'!C54,Просчет!H77,""),IF(Просчет!I78='Смета в налоговую'!C54,Просчет!H78,""),IF(Просчет!I56='Смета в налоговую'!C54,Просчет!H56,""),IF(Просчет!I57='Смета в налоговую'!C54,Просчет!H57,""),IF(Просчет!I58='Смета в налоговую'!C54,Просчет!H58,""),IF(Просчет!I59='Смета в налоговую'!C54,Просчет!H59,""),IF(Просчет!I60='Смета в налоговую'!C54,Просчет!H60,""),IF(Просчет!I61='Смета в налоговую'!C54,Просчет!H61,""),IF(Просчет!I62='Смета в налоговую'!C54,Просчет!H62,""))</f>
        <v/>
      </c>
      <c r="C54" s="270" t="s">
        <v>844</v>
      </c>
      <c r="D54" s="208">
        <f>0.15*0.2*6*(Просчет!B87+Просчет!B48)</f>
        <v>0</v>
      </c>
      <c r="E54" s="225" t="s">
        <v>1</v>
      </c>
      <c r="F54" s="225">
        <v>13500</v>
      </c>
      <c r="G54" s="208">
        <f t="shared" si="0"/>
        <v>5940.0000000000009</v>
      </c>
      <c r="H54" s="209">
        <f t="shared" si="1"/>
        <v>0</v>
      </c>
      <c r="J54" s="297"/>
    </row>
    <row r="55" spans="1:10" s="4" customFormat="1" ht="30" x14ac:dyDescent="0.25">
      <c r="A55" s="322"/>
      <c r="B55" s="281" t="str">
        <f>_xlfn.TEXTJOIN(", ",,IF(Просчет!I64='Смета в налоговую'!C55,Просчет!H64,""),IF(Просчет!I65='Смета в налоговую'!C55,Просчет!H65,""),IF(Просчет!I66='Смета в налоговую'!C55,Просчет!H66,""),IF(Просчет!I67='Смета в налоговую'!C55,Просчет!H67,""),IF(Просчет!I68='Смета в налоговую'!C55,Просчет!H68,""),IF(Просчет!I69='Смета в налоговую'!C55,Просчет!H69,""),IF(Просчет!I70='Смета в налоговую'!C55,Просчет!H70,""),IF(Просчет!I71='Смета в налоговую'!C55,Просчет!H71,""),IF(Просчет!I72='Смета в налоговую'!C55,Просчет!H72,""),IF(Просчет!I73='Смета в налоговую'!C55,Просчет!H73,""),IF(Просчет!I74='Смета в налоговую'!C55,Просчет!H74,""),IF(Просчет!I75='Смета в налоговую'!C55,Просчет!H75,""),IF(Просчет!I76='Смета в налоговую'!C55,Просчет!H76,""),IF(Просчет!I77='Смета в налоговую'!C55,Просчет!H77,""),IF(Просчет!I78='Смета в налоговую'!C55,Просчет!H78,""),IF(Просчет!I56='Смета в налоговую'!C55,Просчет!H56,""),IF(Просчет!I57='Смета в налоговую'!C55,Просчет!H57,""),IF(Просчет!I58='Смета в налоговую'!C55,Просчет!H58,""),IF(Просчет!I59='Смета в налоговую'!C55,Просчет!H59,""),IF(Просчет!I60='Смета в налоговую'!C55,Просчет!H60,""),IF(Просчет!I61='Смета в налоговую'!C55,Просчет!H61,""),IF(Просчет!I62='Смета в налоговую'!C55,Просчет!H62,""),IF(Просчет!I63='Смета в налоговую'!C55,Просчет!H63,""))</f>
        <v/>
      </c>
      <c r="C55" s="270" t="s">
        <v>845</v>
      </c>
      <c r="D55" s="208">
        <f>0.2*0.2*6*(Просчет!B88+Просчет!B49)</f>
        <v>0</v>
      </c>
      <c r="E55" s="225" t="s">
        <v>1</v>
      </c>
      <c r="F55" s="225">
        <v>13500</v>
      </c>
      <c r="G55" s="208">
        <f t="shared" si="0"/>
        <v>5940.0000000000009</v>
      </c>
      <c r="H55" s="209">
        <f t="shared" si="1"/>
        <v>0</v>
      </c>
      <c r="J55" s="297"/>
    </row>
    <row r="56" spans="1:10" s="4" customFormat="1" x14ac:dyDescent="0.25">
      <c r="A56" s="322"/>
      <c r="B56" s="281" t="str">
        <f>_xlfn.TEXTJOIN(", ",,IF(Просчет!I65='Смета в налоговую'!C56,Просчет!H65,""),IF(Просчет!I66='Смета в налоговую'!C56,Просчет!H66,""),IF(Просчет!I67='Смета в налоговую'!C56,Просчет!H67,""),IF(Просчет!I68='Смета в налоговую'!C56,Просчет!H68,""),IF(Просчет!I69='Смета в налоговую'!C56,Просчет!H69,""),IF(Просчет!I70='Смета в налоговую'!C56,Просчет!H70,""),IF(Просчет!I71='Смета в налоговую'!C56,Просчет!H71,""),IF(Просчет!I72='Смета в налоговую'!C56,Просчет!H72,""),IF(Просчет!I73='Смета в налоговую'!C56,Просчет!H73,""),IF(Просчет!I74='Смета в налоговую'!C56,Просчет!H74,""),IF(Просчет!I75='Смета в налоговую'!C56,Просчет!H75,""),IF(Просчет!I76='Смета в налоговую'!C56,Просчет!H76,""),IF(Просчет!I77='Смета в налоговую'!C56,Просчет!H77,""),IF(Просчет!I78='Смета в налоговую'!C56,Просчет!H78,""),IF(Просчет!I56='Смета в налоговую'!C56,Просчет!H56,""),IF(Просчет!I57='Смета в налоговую'!C56,Просчет!H57,""),IF(Просчет!I58='Смета в налоговую'!C56,Просчет!H58,""),IF(Просчет!I59='Смета в налоговую'!C56,Просчет!H59,""),IF(Просчет!I60='Смета в налоговую'!C56,Просчет!H60,""),IF(Просчет!I61='Смета в налоговую'!C56,Просчет!H61,""),IF(Просчет!I62='Смета в налоговую'!C56,Просчет!H62,""),IF(Просчет!I63='Смета в налоговую'!C56,Просчет!H63,""),IF(Просчет!I64='Смета в налоговую'!C56,Просчет!H64,""))</f>
        <v/>
      </c>
      <c r="C56" s="270" t="s">
        <v>846</v>
      </c>
      <c r="D56" s="208">
        <f>0.02*0.04*3*Просчет!B90</f>
        <v>0</v>
      </c>
      <c r="E56" s="225" t="s">
        <v>1</v>
      </c>
      <c r="F56" s="225">
        <v>16500</v>
      </c>
      <c r="G56" s="208">
        <f t="shared" si="0"/>
        <v>7260.0000000000009</v>
      </c>
      <c r="H56" s="209">
        <f t="shared" si="1"/>
        <v>0</v>
      </c>
      <c r="J56" s="297"/>
    </row>
    <row r="57" spans="1:10" s="4" customFormat="1" x14ac:dyDescent="0.25">
      <c r="A57" s="322"/>
      <c r="B57" s="281" t="str">
        <f>_xlfn.TEXTJOIN(", ",,IF(Просчет!I66='Смета в налоговую'!C57,Просчет!H66,""),IF(Просчет!I67='Смета в налоговую'!C57,Просчет!H67,""),IF(Просчет!I68='Смета в налоговую'!C57,Просчет!H68,""),IF(Просчет!I69='Смета в налоговую'!C57,Просчет!H69,""),IF(Просчет!I70='Смета в налоговую'!C57,Просчет!H70,""),IF(Просчет!I71='Смета в налоговую'!C57,Просчет!H71,""),IF(Просчет!I72='Смета в налоговую'!C57,Просчет!H72,""),IF(Просчет!I73='Смета в налоговую'!C57,Просчет!H73,""),IF(Просчет!I74='Смета в налоговую'!C57,Просчет!H74,""),IF(Просчет!I75='Смета в налоговую'!C57,Просчет!H75,""),IF(Просчет!I76='Смета в налоговую'!C57,Просчет!H76,""),IF(Просчет!I77='Смета в налоговую'!C57,Просчет!H77,""),IF(Просчет!I78='Смета в налоговую'!C57,Просчет!H78,""),IF(Просчет!I56='Смета в налоговую'!C57,Просчет!H56,""),IF(Просчет!I57='Смета в налоговую'!C57,Просчет!H57,""),IF(Просчет!I58='Смета в налоговую'!C57,Просчет!H58,""),IF(Просчет!I59='Смета в налоговую'!C57,Просчет!H59,""),IF(Просчет!I60='Смета в налоговую'!C57,Просчет!H60,""),IF(Просчет!I61='Смета в налоговую'!C57,Просчет!H61,""),IF(Просчет!I62='Смета в налоговую'!C57,Просчет!H62,""),IF(Просчет!I63='Смета в налоговую'!C57,Просчет!H63,""),IF(Просчет!I64='Смета в налоговую'!C57,Просчет!H64,""),IF(Просчет!I65='Смета в налоговую'!C57,Просчет!H65,""))</f>
        <v/>
      </c>
      <c r="C57" s="270" t="s">
        <v>847</v>
      </c>
      <c r="D57" s="208">
        <f>0.02*0.09*6*Просчет!B91</f>
        <v>1.296</v>
      </c>
      <c r="E57" s="225" t="s">
        <v>1</v>
      </c>
      <c r="F57" s="225">
        <v>16500</v>
      </c>
      <c r="G57" s="208">
        <f t="shared" si="0"/>
        <v>7260.0000000000009</v>
      </c>
      <c r="H57" s="209">
        <f t="shared" si="1"/>
        <v>30792.960000000003</v>
      </c>
      <c r="J57" s="297"/>
    </row>
    <row r="58" spans="1:10" s="4" customFormat="1" ht="30" x14ac:dyDescent="0.25">
      <c r="A58" s="322"/>
      <c r="B58" s="281" t="str">
        <f>_xlfn.TEXTJOIN(", ",,IF(Просчет!I67='Смета в налоговую'!C58,Просчет!H67,""),IF(Просчет!I68='Смета в налоговую'!C58,Просчет!H68,""),IF(Просчет!I69='Смета в налоговую'!C58,Просчет!H69,""),IF(Просчет!I70='Смета в налоговую'!C58,Просчет!H70,""),IF(Просчет!I71='Смета в налоговую'!C58,Просчет!H71,""),IF(Просчет!I72='Смета в налоговую'!C58,Просчет!H72,""),IF(Просчет!I73='Смета в налоговую'!C58,Просчет!H73,""),IF(Просчет!I74='Смета в налоговую'!C58,Просчет!H74,""),IF(Просчет!I75='Смета в налоговую'!C58,Просчет!H75,""),IF(Просчет!I76='Смета в налоговую'!C58,Просчет!H76,""),IF(Просчет!I77='Смета в налоговую'!C58,Просчет!H77,""),IF(Просчет!I78='Смета в налоговую'!C58,Просчет!H78,""),IF(Просчет!I56='Смета в налоговую'!C58,Просчет!H56,""),IF(Просчет!I57='Смета в налоговую'!C58,Просчет!H57,""),IF(Просчет!I58='Смета в налоговую'!C58,Просчет!H58,""),IF(Просчет!I59='Смета в налоговую'!C58,Просчет!H59,""),IF(Просчет!I60='Смета в налоговую'!C58,Просчет!H60,""),IF(Просчет!I61='Смета в налоговую'!C58,Просчет!H61,""),IF(Просчет!I62='Смета в налоговую'!C58,Просчет!H62,""),IF(Просчет!I63='Смета в налоговую'!C58,Просчет!H63,""),IF(Просчет!I64='Смета в налоговую'!C58,Просчет!H64,""),IF(Просчет!I65='Смета в налоговую'!C58,Просчет!H65,""),IF(Просчет!I66='Смета в налоговую'!C58,Просчет!H66,""))</f>
        <v/>
      </c>
      <c r="C58" s="270" t="s">
        <v>852</v>
      </c>
      <c r="D58" s="208">
        <f>0.02*0.09*6*Просчет!B92</f>
        <v>0</v>
      </c>
      <c r="E58" s="225" t="s">
        <v>1</v>
      </c>
      <c r="F58" s="225">
        <v>11125</v>
      </c>
      <c r="G58" s="208">
        <f t="shared" si="0"/>
        <v>4895</v>
      </c>
      <c r="H58" s="209">
        <f t="shared" si="1"/>
        <v>0</v>
      </c>
      <c r="J58" s="297"/>
    </row>
    <row r="59" spans="1:10" s="4" customFormat="1" x14ac:dyDescent="0.25">
      <c r="A59" s="322"/>
      <c r="B59" s="281" t="str">
        <f>_xlfn.TEXTJOIN(", ",,IF(Просчет!I68='Смета в налоговую'!C59,Просчет!H68,""),IF(Просчет!I69='Смета в налоговую'!C59,Просчет!H69,""),IF(Просчет!I70='Смета в налоговую'!C59,Просчет!H70,""),IF(Просчет!I71='Смета в налоговую'!C59,Просчет!H71,""),IF(Просчет!I72='Смета в налоговую'!C59,Просчет!H72,""),IF(Просчет!I73='Смета в налоговую'!C59,Просчет!H73,""),IF(Просчет!I74='Смета в налоговую'!C59,Просчет!H74,""),IF(Просчет!I75='Смета в налоговую'!C59,Просчет!H75,""),IF(Просчет!I76='Смета в налоговую'!C59,Просчет!H76,""),IF(Просчет!I77='Смета в налоговую'!C59,Просчет!H77,""),IF(Просчет!I78='Смета в налоговую'!C59,Просчет!H78,""),IF(Просчет!I56='Смета в налоговую'!C59,Просчет!H56,""),IF(Просчет!I57='Смета в налоговую'!C59,Просчет!H57,""),IF(Просчет!I58='Смета в налоговую'!C59,Просчет!H58,""),IF(Просчет!I59='Смета в налоговую'!C59,Просчет!H59,""),IF(Просчет!I60='Смета в налоговую'!C59,Просчет!H60,""),IF(Просчет!I61='Смета в налоговую'!C59,Просчет!H61,""),IF(Просчет!I62='Смета в налоговую'!C59,Просчет!H62,""),IF(Просчет!I63='Смета в налоговую'!C59,Просчет!H63,""),IF(Просчет!I64='Смета в налоговую'!C59,Просчет!H64,""),IF(Просчет!I65='Смета в налоговую'!C59,Просчет!H65,""),IF(Просчет!I66='Смета в налоговую'!C59,Просчет!H66,""),IF(Просчет!I67='Смета в налоговую'!C59,Просчет!H67,""))</f>
        <v/>
      </c>
      <c r="C59" s="270" t="s">
        <v>848</v>
      </c>
      <c r="D59" s="208">
        <f>0.04*0.05*3*Просчет!B93</f>
        <v>1.1879999999999999</v>
      </c>
      <c r="E59" s="225" t="s">
        <v>1</v>
      </c>
      <c r="F59" s="225">
        <v>16500</v>
      </c>
      <c r="G59" s="208">
        <f t="shared" si="0"/>
        <v>7260.0000000000009</v>
      </c>
      <c r="H59" s="209">
        <f t="shared" si="1"/>
        <v>28226.879999999997</v>
      </c>
      <c r="J59" s="297"/>
    </row>
    <row r="60" spans="1:10" s="4" customFormat="1" x14ac:dyDescent="0.25">
      <c r="A60" s="322"/>
      <c r="B60" s="281" t="str">
        <f>_xlfn.TEXTJOIN(", ",,IF(Просчет!I69='Смета в налоговую'!C60,Просчет!H69,""),IF(Просчет!I70='Смета в налоговую'!C60,Просчет!H70,""),IF(Просчет!I71='Смета в налоговую'!C60,Просчет!H71,""),IF(Просчет!I72='Смета в налоговую'!C60,Просчет!H72,""),IF(Просчет!I73='Смета в налоговую'!C60,Просчет!H73,""),IF(Просчет!I74='Смета в налоговую'!C60,Просчет!H74,""),IF(Просчет!I75='Смета в налоговую'!C60,Просчет!H75,""),IF(Просчет!I76='Смета в налоговую'!C60,Просчет!H76,""),IF(Просчет!I77='Смета в налоговую'!C60,Просчет!H77,""),IF(Просчет!I78='Смета в налоговую'!C60,Просчет!H78,""),IF(Просчет!I56='Смета в налоговую'!C60,Просчет!H56,""),IF(Просчет!I57='Смета в налоговую'!C60,Просчет!H57,""),IF(Просчет!I58='Смета в налоговую'!C60,Просчет!H58,""),IF(Просчет!I59='Смета в налоговую'!C60,Просчет!H59,""),IF(Просчет!I60='Смета в налоговую'!C60,Просчет!H60,""),IF(Просчет!I61='Смета в налоговую'!C60,Просчет!H61,""),IF(Просчет!I62='Смета в налоговую'!C60,Просчет!H62,""),IF(Просчет!I63='Смета в налоговую'!C60,Просчет!H63,""),IF(Просчет!I64='Смета в налоговую'!C60,Просчет!H64,""),IF(Просчет!I65='Смета в налоговую'!C60,Просчет!H65,""),IF(Просчет!I66='Смета в налоговую'!C60,Просчет!H66,""),IF(Просчет!I67='Смета в налоговую'!C60,Просчет!H67,""),IF(Просчет!I68='Смета в налоговую'!C60,Просчет!H68,""))</f>
        <v/>
      </c>
      <c r="C60" s="270" t="s">
        <v>850</v>
      </c>
      <c r="D60" s="208">
        <f>0.04*0.09*6*(Просчет!B95+Просчет!B50)</f>
        <v>0.54</v>
      </c>
      <c r="E60" s="225" t="s">
        <v>1</v>
      </c>
      <c r="F60" s="225">
        <v>16500</v>
      </c>
      <c r="G60" s="208">
        <f t="shared" si="0"/>
        <v>7260.0000000000009</v>
      </c>
      <c r="H60" s="209">
        <f t="shared" si="1"/>
        <v>12830.400000000001</v>
      </c>
      <c r="J60" s="297"/>
    </row>
    <row r="61" spans="1:10" s="4" customFormat="1" x14ac:dyDescent="0.25">
      <c r="A61" s="322"/>
      <c r="B61" s="281" t="str">
        <f>_xlfn.TEXTJOIN(", ",,IF(Просчет!I70='Смета в налоговую'!C61,Просчет!H70,""),IF(Просчет!I71='Смета в налоговую'!C61,Просчет!H71,""),IF(Просчет!I72='Смета в налоговую'!C61,Просчет!H72,""),IF(Просчет!I73='Смета в налоговую'!C61,Просчет!H73,""),IF(Просчет!I74='Смета в налоговую'!C61,Просчет!H74,""),IF(Просчет!I75='Смета в налоговую'!C61,Просчет!H75,""),IF(Просчет!I76='Смета в налоговую'!C61,Просчет!H76,""),IF(Просчет!I77='Смета в налоговую'!C61,Просчет!H77,""),IF(Просчет!I78='Смета в налоговую'!C61,Просчет!H78,""),IF(Просчет!I56='Смета в налоговую'!C61,Просчет!H56,""),IF(Просчет!I57='Смета в налоговую'!C61,Просчет!H57,""),IF(Просчет!I58='Смета в налоговую'!C61,Просчет!H58,""),IF(Просчет!I59='Смета в налоговую'!C61,Просчет!H59,""),IF(Просчет!I60='Смета в налоговую'!C61,Просчет!H60,""),IF(Просчет!I61='Смета в налоговую'!C61,Просчет!H61,""),IF(Просчет!I62='Смета в налоговую'!C61,Просчет!H62,""),IF(Просчет!I63='Смета в налоговую'!C61,Просчет!H63,""),IF(Просчет!I64='Смета в налоговую'!C61,Просчет!H64,""),IF(Просчет!I65='Смета в налоговую'!C61,Просчет!H65,""),IF(Просчет!I66='Смета в налоговую'!C61,Просчет!H66,""),IF(Просчет!I67='Смета в налоговую'!C61,Просчет!H67,""),IF(Просчет!I68='Смета в налоговую'!C61,Просчет!H68,""),IF(Просчет!I69='Смета в налоговую'!C61,Просчет!H69,""))</f>
        <v/>
      </c>
      <c r="C61" s="270" t="s">
        <v>849</v>
      </c>
      <c r="D61" s="208">
        <f>0.04*0.14*6*(Просчет!B97+Просчет!B52)</f>
        <v>1.1088000000000002</v>
      </c>
      <c r="E61" s="225" t="s">
        <v>1</v>
      </c>
      <c r="F61" s="225">
        <v>16500</v>
      </c>
      <c r="G61" s="208">
        <f t="shared" si="0"/>
        <v>7260.0000000000009</v>
      </c>
      <c r="H61" s="209">
        <f t="shared" si="1"/>
        <v>26345.088000000007</v>
      </c>
      <c r="J61" s="297"/>
    </row>
    <row r="62" spans="1:10" s="4" customFormat="1" x14ac:dyDescent="0.25">
      <c r="A62" s="322"/>
      <c r="B62" s="281" t="str">
        <f>_xlfn.TEXTJOIN(", ",,IF(Просчет!I71='Смета в налоговую'!C62,Просчет!H71,""),IF(Просчет!I72='Смета в налоговую'!C62,Просчет!H72,""),IF(Просчет!I73='Смета в налоговую'!C62,Просчет!H73,""),IF(Просчет!I74='Смета в налоговую'!C62,Просчет!H74,""),IF(Просчет!I75='Смета в налоговую'!C62,Просчет!H75,""),IF(Просчет!I76='Смета в налоговую'!C62,Просчет!H76,""),IF(Просчет!I77='Смета в налоговую'!C62,Просчет!H77,""),IF(Просчет!I78='Смета в налоговую'!C62,Просчет!H78,""),IF(Просчет!I56='Смета в налоговую'!C62,Просчет!H56,""),IF(Просчет!I57='Смета в налоговую'!C62,Просчет!H57,""),IF(Просчет!I58='Смета в налоговую'!C62,Просчет!H58,""),IF(Просчет!I59='Смета в налоговую'!C62,Просчет!H59,""),IF(Просчет!I60='Смета в налоговую'!C62,Просчет!H60,""),IF(Просчет!I61='Смета в налоговую'!C62,Просчет!H61,""),IF(Просчет!I62='Смета в налоговую'!C62,Просчет!H62,""),IF(Просчет!I63='Смета в налоговую'!C62,Просчет!H63,""),IF(Просчет!I64='Смета в налоговую'!C62,Просчет!H64,""),IF(Просчет!I65='Смета в налоговую'!C62,Просчет!H65,""),IF(Просчет!I66='Смета в налоговую'!C62,Просчет!H66,""),IF(Просчет!I67='Смета в налоговую'!C62,Просчет!H67,""),IF(Просчет!I68='Смета в налоговую'!C62,Просчет!H68,""),IF(Просчет!I69='Смета в налоговую'!C62,Просчет!H69,""),IF(Просчет!I70='Смета в налоговую'!C62,Просчет!H70,""))</f>
        <v/>
      </c>
      <c r="C62" s="270" t="s">
        <v>851</v>
      </c>
      <c r="D62" s="208">
        <f>0.04*0.19*6*(Просчет!B99+Просчет!B54)</f>
        <v>0</v>
      </c>
      <c r="E62" s="225" t="s">
        <v>1</v>
      </c>
      <c r="F62" s="225">
        <v>16500</v>
      </c>
      <c r="G62" s="208">
        <f t="shared" si="0"/>
        <v>7260.0000000000009</v>
      </c>
      <c r="H62" s="209">
        <f t="shared" si="1"/>
        <v>0</v>
      </c>
      <c r="J62" s="297"/>
    </row>
    <row r="63" spans="1:10" s="4" customFormat="1" ht="30" x14ac:dyDescent="0.25">
      <c r="A63" s="322"/>
      <c r="B63" s="281" t="s">
        <v>770</v>
      </c>
      <c r="C63" s="270" t="s">
        <v>761</v>
      </c>
      <c r="D63" s="208">
        <f>0.195*0.145*6*Просчет!B101</f>
        <v>0</v>
      </c>
      <c r="E63" s="225" t="s">
        <v>1</v>
      </c>
      <c r="F63" s="225">
        <v>14125</v>
      </c>
      <c r="G63" s="208">
        <f t="shared" si="0"/>
        <v>6215.0000000000009</v>
      </c>
      <c r="H63" s="209">
        <f t="shared" si="1"/>
        <v>0</v>
      </c>
      <c r="J63" s="297"/>
    </row>
    <row r="64" spans="1:10" s="4" customFormat="1" ht="30" x14ac:dyDescent="0.25">
      <c r="A64" s="322"/>
      <c r="B64" s="281" t="s">
        <v>770</v>
      </c>
      <c r="C64" s="270" t="s">
        <v>762</v>
      </c>
      <c r="D64" s="208">
        <f>0.145*0.145*6*Просчет!B102</f>
        <v>0</v>
      </c>
      <c r="E64" s="225" t="s">
        <v>1</v>
      </c>
      <c r="F64" s="225">
        <v>14125</v>
      </c>
      <c r="G64" s="208">
        <f t="shared" si="0"/>
        <v>6215.0000000000009</v>
      </c>
      <c r="H64" s="209">
        <f t="shared" si="1"/>
        <v>0</v>
      </c>
      <c r="J64" s="297"/>
    </row>
    <row r="65" spans="1:10" s="4" customFormat="1" ht="30" x14ac:dyDescent="0.25">
      <c r="A65" s="322"/>
      <c r="B65" s="281" t="s">
        <v>770</v>
      </c>
      <c r="C65" s="270" t="s">
        <v>763</v>
      </c>
      <c r="D65" s="208">
        <f>0.095*0.145*6*Просчет!B103</f>
        <v>0</v>
      </c>
      <c r="E65" s="225" t="s">
        <v>1</v>
      </c>
      <c r="F65" s="225">
        <v>14125</v>
      </c>
      <c r="G65" s="208">
        <f t="shared" si="0"/>
        <v>6215.0000000000009</v>
      </c>
      <c r="H65" s="209">
        <f t="shared" si="1"/>
        <v>0</v>
      </c>
      <c r="J65" s="297"/>
    </row>
    <row r="66" spans="1:10" s="4" customFormat="1" ht="30" x14ac:dyDescent="0.25">
      <c r="A66" s="322"/>
      <c r="B66" s="281" t="s">
        <v>770</v>
      </c>
      <c r="C66" s="270" t="s">
        <v>764</v>
      </c>
      <c r="D66" s="208">
        <f>0.195*0.145*6*Просчет!B104</f>
        <v>0</v>
      </c>
      <c r="E66" s="225" t="s">
        <v>1</v>
      </c>
      <c r="F66" s="225">
        <v>17875</v>
      </c>
      <c r="G66" s="208">
        <f t="shared" si="0"/>
        <v>7865.0000000000009</v>
      </c>
      <c r="H66" s="209">
        <f t="shared" si="1"/>
        <v>0</v>
      </c>
      <c r="J66" s="297"/>
    </row>
    <row r="67" spans="1:10" s="4" customFormat="1" ht="30" x14ac:dyDescent="0.25">
      <c r="A67" s="322"/>
      <c r="B67" s="281" t="s">
        <v>770</v>
      </c>
      <c r="C67" s="270" t="s">
        <v>765</v>
      </c>
      <c r="D67" s="208">
        <f>0.145*0.145*6*Просчет!B105</f>
        <v>0</v>
      </c>
      <c r="E67" s="225" t="s">
        <v>1</v>
      </c>
      <c r="F67" s="225">
        <v>17875</v>
      </c>
      <c r="G67" s="208">
        <f t="shared" si="0"/>
        <v>7865.0000000000009</v>
      </c>
      <c r="H67" s="209">
        <f t="shared" si="1"/>
        <v>0</v>
      </c>
      <c r="J67" s="297"/>
    </row>
    <row r="68" spans="1:10" s="4" customFormat="1" ht="30" x14ac:dyDescent="0.25">
      <c r="A68" s="322"/>
      <c r="B68" s="281" t="s">
        <v>770</v>
      </c>
      <c r="C68" s="270" t="s">
        <v>766</v>
      </c>
      <c r="D68" s="208">
        <f>0.095*0.145*6*Просчет!B106</f>
        <v>0</v>
      </c>
      <c r="E68" s="225" t="s">
        <v>1</v>
      </c>
      <c r="F68" s="225">
        <v>17875</v>
      </c>
      <c r="G68" s="208">
        <f t="shared" ref="G68:G135" si="2">F68/1.25*0.55</f>
        <v>7865.0000000000009</v>
      </c>
      <c r="H68" s="209">
        <f t="shared" ref="H68:H135" si="3">(F68+G68)*D68</f>
        <v>0</v>
      </c>
      <c r="J68" s="297"/>
    </row>
    <row r="69" spans="1:10" s="4" customFormat="1" ht="30" x14ac:dyDescent="0.25">
      <c r="A69" s="322"/>
      <c r="B69" s="281" t="s">
        <v>774</v>
      </c>
      <c r="C69" s="270" t="s">
        <v>767</v>
      </c>
      <c r="D69" s="208">
        <f>Просчет!B108</f>
        <v>0</v>
      </c>
      <c r="E69" s="225" t="s">
        <v>1</v>
      </c>
      <c r="F69" s="225">
        <v>17750</v>
      </c>
      <c r="G69" s="208">
        <f t="shared" si="2"/>
        <v>7810.0000000000009</v>
      </c>
      <c r="H69" s="209">
        <f t="shared" si="3"/>
        <v>0</v>
      </c>
      <c r="J69" s="297" t="s">
        <v>891</v>
      </c>
    </row>
    <row r="70" spans="1:10" s="4" customFormat="1" ht="30" x14ac:dyDescent="0.25">
      <c r="A70" s="322"/>
      <c r="B70" s="281" t="s">
        <v>774</v>
      </c>
      <c r="C70" s="270" t="s">
        <v>768</v>
      </c>
      <c r="D70" s="208">
        <f>Просчет!B109</f>
        <v>0</v>
      </c>
      <c r="E70" s="225" t="s">
        <v>1</v>
      </c>
      <c r="F70" s="225">
        <v>17750</v>
      </c>
      <c r="G70" s="208">
        <f t="shared" si="2"/>
        <v>7810.0000000000009</v>
      </c>
      <c r="H70" s="209">
        <f t="shared" si="3"/>
        <v>0</v>
      </c>
      <c r="J70" s="297"/>
    </row>
    <row r="71" spans="1:10" s="4" customFormat="1" ht="30" x14ac:dyDescent="0.25">
      <c r="A71" s="322"/>
      <c r="B71" s="281" t="s">
        <v>774</v>
      </c>
      <c r="C71" s="270" t="s">
        <v>769</v>
      </c>
      <c r="D71" s="208">
        <f>Просчет!B110</f>
        <v>0</v>
      </c>
      <c r="E71" s="225" t="s">
        <v>1</v>
      </c>
      <c r="F71" s="225">
        <v>17750</v>
      </c>
      <c r="G71" s="208">
        <f t="shared" si="2"/>
        <v>7810.0000000000009</v>
      </c>
      <c r="H71" s="209">
        <f t="shared" si="3"/>
        <v>0</v>
      </c>
      <c r="J71" s="297"/>
    </row>
    <row r="72" spans="1:10" s="4" customFormat="1" x14ac:dyDescent="0.25">
      <c r="A72" s="322"/>
      <c r="B72" s="281" t="s">
        <v>775</v>
      </c>
      <c r="C72" s="270" t="s">
        <v>776</v>
      </c>
      <c r="D72" s="208">
        <f>Просчет!B111</f>
        <v>0</v>
      </c>
      <c r="E72" s="225" t="s">
        <v>1</v>
      </c>
      <c r="F72" s="225">
        <v>11000</v>
      </c>
      <c r="G72" s="208">
        <f t="shared" si="2"/>
        <v>4840</v>
      </c>
      <c r="H72" s="209">
        <f t="shared" si="3"/>
        <v>0</v>
      </c>
      <c r="J72" s="297"/>
    </row>
    <row r="73" spans="1:10" s="4" customFormat="1" x14ac:dyDescent="0.25">
      <c r="A73" s="322"/>
      <c r="B73" s="281" t="s">
        <v>775</v>
      </c>
      <c r="C73" s="270" t="s">
        <v>777</v>
      </c>
      <c r="D73" s="208">
        <f>Просчет!B112</f>
        <v>0</v>
      </c>
      <c r="E73" s="225" t="s">
        <v>1</v>
      </c>
      <c r="F73" s="225">
        <v>11000</v>
      </c>
      <c r="G73" s="208">
        <f t="shared" si="2"/>
        <v>4840</v>
      </c>
      <c r="H73" s="209">
        <f t="shared" si="3"/>
        <v>0</v>
      </c>
      <c r="J73" s="297"/>
    </row>
    <row r="74" spans="1:10" s="4" customFormat="1" x14ac:dyDescent="0.25">
      <c r="A74" s="322"/>
      <c r="B74" s="281" t="s">
        <v>775</v>
      </c>
      <c r="C74" s="270" t="s">
        <v>778</v>
      </c>
      <c r="D74" s="208">
        <f>Просчет!B113</f>
        <v>0</v>
      </c>
      <c r="E74" s="225" t="s">
        <v>1</v>
      </c>
      <c r="F74" s="225">
        <v>11000</v>
      </c>
      <c r="G74" s="208">
        <f t="shared" si="2"/>
        <v>4840</v>
      </c>
      <c r="H74" s="209">
        <f t="shared" si="3"/>
        <v>0</v>
      </c>
      <c r="J74" s="297"/>
    </row>
    <row r="75" spans="1:10" s="4" customFormat="1" x14ac:dyDescent="0.25">
      <c r="A75" s="322"/>
      <c r="B75" s="281" t="s">
        <v>775</v>
      </c>
      <c r="C75" s="270" t="s">
        <v>779</v>
      </c>
      <c r="D75" s="208">
        <f>Просчет!B114</f>
        <v>0</v>
      </c>
      <c r="E75" s="225" t="s">
        <v>1</v>
      </c>
      <c r="F75" s="225">
        <v>11000</v>
      </c>
      <c r="G75" s="208">
        <f t="shared" si="2"/>
        <v>4840</v>
      </c>
      <c r="H75" s="209">
        <f t="shared" si="3"/>
        <v>0</v>
      </c>
      <c r="J75" s="297"/>
    </row>
    <row r="76" spans="1:10" s="4" customFormat="1" ht="30" x14ac:dyDescent="0.25">
      <c r="A76" s="322"/>
      <c r="B76" s="281" t="s">
        <v>775</v>
      </c>
      <c r="C76" s="270" t="s">
        <v>780</v>
      </c>
      <c r="D76" s="208">
        <f>Просчет!B115</f>
        <v>0</v>
      </c>
      <c r="E76" s="225" t="s">
        <v>1</v>
      </c>
      <c r="F76" s="251"/>
      <c r="G76" s="208">
        <f t="shared" si="2"/>
        <v>0</v>
      </c>
      <c r="H76" s="209">
        <f t="shared" si="3"/>
        <v>0</v>
      </c>
      <c r="J76" s="297"/>
    </row>
    <row r="77" spans="1:10" s="4" customFormat="1" x14ac:dyDescent="0.25">
      <c r="A77" s="322"/>
      <c r="B77" s="281" t="s">
        <v>775</v>
      </c>
      <c r="C77" s="270" t="s">
        <v>781</v>
      </c>
      <c r="D77" s="208">
        <f>Просчет!B116</f>
        <v>0</v>
      </c>
      <c r="E77" s="225" t="s">
        <v>1</v>
      </c>
      <c r="F77" s="251"/>
      <c r="G77" s="208">
        <f t="shared" si="2"/>
        <v>0</v>
      </c>
      <c r="H77" s="209">
        <f t="shared" si="3"/>
        <v>0</v>
      </c>
      <c r="J77" s="297"/>
    </row>
    <row r="78" spans="1:10" s="4" customFormat="1" ht="15.75" thickBot="1" x14ac:dyDescent="0.3">
      <c r="A78" s="322"/>
      <c r="B78" s="282" t="s">
        <v>783</v>
      </c>
      <c r="C78" s="272" t="str">
        <f>Просчет!A12</f>
        <v>Антисептик 3TREE BIO 10кг</v>
      </c>
      <c r="D78" s="226">
        <f>IF(Просчет!B12&gt;0,1,0)</f>
        <v>1</v>
      </c>
      <c r="E78" s="226" t="s">
        <v>722</v>
      </c>
      <c r="F78" s="277">
        <f>Просчет!G12</f>
        <v>920</v>
      </c>
      <c r="G78" s="226">
        <f t="shared" si="2"/>
        <v>404.8</v>
      </c>
      <c r="H78" s="235">
        <f t="shared" si="3"/>
        <v>1324.8</v>
      </c>
      <c r="J78" s="297"/>
    </row>
    <row r="79" spans="1:10" s="65" customFormat="1" ht="15.75" thickBot="1" x14ac:dyDescent="0.3">
      <c r="A79" s="354">
        <f>A23+1</f>
        <v>3</v>
      </c>
      <c r="B79" s="615" t="s">
        <v>782</v>
      </c>
      <c r="C79" s="615"/>
      <c r="D79" s="615"/>
      <c r="E79" s="615"/>
      <c r="F79" s="615"/>
      <c r="G79" s="615"/>
      <c r="H79" s="616"/>
      <c r="J79" s="298"/>
    </row>
    <row r="80" spans="1:10" s="4" customFormat="1" x14ac:dyDescent="0.25">
      <c r="A80" s="308"/>
      <c r="B80" s="284" t="s">
        <v>784</v>
      </c>
      <c r="C80" s="238" t="s">
        <v>785</v>
      </c>
      <c r="D80" s="285">
        <f>Просчет!B227</f>
        <v>0</v>
      </c>
      <c r="E80" s="240" t="s">
        <v>4</v>
      </c>
      <c r="F80" s="285">
        <v>488</v>
      </c>
      <c r="G80" s="240">
        <f t="shared" si="2"/>
        <v>214.72</v>
      </c>
      <c r="H80" s="241">
        <f t="shared" si="3"/>
        <v>0</v>
      </c>
      <c r="J80" s="297"/>
    </row>
    <row r="81" spans="1:10" s="4" customFormat="1" x14ac:dyDescent="0.25">
      <c r="A81" s="308"/>
      <c r="B81" s="281" t="s">
        <v>784</v>
      </c>
      <c r="C81" s="270" t="s">
        <v>786</v>
      </c>
      <c r="D81" s="225">
        <f>Просчет!B228</f>
        <v>164</v>
      </c>
      <c r="E81" s="208" t="s">
        <v>4</v>
      </c>
      <c r="F81" s="225">
        <v>713</v>
      </c>
      <c r="G81" s="208">
        <f t="shared" si="2"/>
        <v>313.72000000000003</v>
      </c>
      <c r="H81" s="209">
        <f t="shared" si="3"/>
        <v>168382.08000000002</v>
      </c>
      <c r="J81" s="297"/>
    </row>
    <row r="82" spans="1:10" s="4" customFormat="1" x14ac:dyDescent="0.25">
      <c r="A82" s="308"/>
      <c r="B82" s="281" t="s">
        <v>784</v>
      </c>
      <c r="C82" s="270" t="s">
        <v>201</v>
      </c>
      <c r="D82" s="225">
        <f>Просчет!B229</f>
        <v>0</v>
      </c>
      <c r="E82" s="208" t="s">
        <v>4</v>
      </c>
      <c r="F82" s="225">
        <v>750</v>
      </c>
      <c r="G82" s="208">
        <f t="shared" si="2"/>
        <v>330</v>
      </c>
      <c r="H82" s="209">
        <f t="shared" si="3"/>
        <v>0</v>
      </c>
      <c r="J82" s="297"/>
    </row>
    <row r="83" spans="1:10" s="4" customFormat="1" x14ac:dyDescent="0.25">
      <c r="A83" s="308"/>
      <c r="B83" s="281" t="s">
        <v>784</v>
      </c>
      <c r="C83" s="270" t="s">
        <v>787</v>
      </c>
      <c r="D83" s="225">
        <f>Просчет!B230</f>
        <v>0</v>
      </c>
      <c r="E83" s="208" t="s">
        <v>4</v>
      </c>
      <c r="F83" s="251"/>
      <c r="G83" s="208">
        <f t="shared" si="2"/>
        <v>0</v>
      </c>
      <c r="H83" s="209">
        <f t="shared" si="3"/>
        <v>0</v>
      </c>
      <c r="J83" s="297"/>
    </row>
    <row r="84" spans="1:10" s="4" customFormat="1" ht="30" x14ac:dyDescent="0.25">
      <c r="A84" s="308"/>
      <c r="B84" s="281" t="s">
        <v>788</v>
      </c>
      <c r="C84" s="270" t="s">
        <v>789</v>
      </c>
      <c r="D84" s="225">
        <f>IF(Просчет!B231&gt;0,1,0)</f>
        <v>1</v>
      </c>
      <c r="E84" s="208" t="s">
        <v>722</v>
      </c>
      <c r="F84" s="251"/>
      <c r="G84" s="208">
        <f t="shared" si="2"/>
        <v>0</v>
      </c>
      <c r="H84" s="209">
        <f t="shared" si="3"/>
        <v>0</v>
      </c>
      <c r="J84" s="297"/>
    </row>
    <row r="85" spans="1:10" s="4" customFormat="1" ht="30" x14ac:dyDescent="0.25">
      <c r="A85" s="308"/>
      <c r="B85" s="281" t="s">
        <v>788</v>
      </c>
      <c r="C85" s="270" t="s">
        <v>789</v>
      </c>
      <c r="D85" s="225">
        <f>IF(Просчет!B232&gt;0,1,0)</f>
        <v>0</v>
      </c>
      <c r="E85" s="208" t="s">
        <v>722</v>
      </c>
      <c r="F85" s="251"/>
      <c r="G85" s="208">
        <f t="shared" si="2"/>
        <v>0</v>
      </c>
      <c r="H85" s="209">
        <f t="shared" si="3"/>
        <v>0</v>
      </c>
      <c r="J85" s="297"/>
    </row>
    <row r="86" spans="1:10" s="4" customFormat="1" x14ac:dyDescent="0.25">
      <c r="A86" s="308"/>
      <c r="B86" s="281" t="s">
        <v>790</v>
      </c>
      <c r="C86" s="270" t="s">
        <v>618</v>
      </c>
      <c r="D86" s="225">
        <f>IF(Просчет!B233&gt;0,1,0)</f>
        <v>0</v>
      </c>
      <c r="E86" s="208" t="s">
        <v>722</v>
      </c>
      <c r="F86" s="251"/>
      <c r="G86" s="208">
        <f t="shared" si="2"/>
        <v>0</v>
      </c>
      <c r="H86" s="209">
        <f t="shared" si="3"/>
        <v>0</v>
      </c>
      <c r="J86" s="297"/>
    </row>
    <row r="87" spans="1:10" s="4" customFormat="1" x14ac:dyDescent="0.25">
      <c r="A87" s="308"/>
      <c r="B87" s="281" t="str">
        <f>_xlfn.TEXTJOIN(", ",,IF(Просчет!I80='Смета в налоговую'!C87,Просчет!H80,""),IF(Просчет!I81='Смета в налоговую'!C87,Просчет!H81,""),IF(Просчет!I82='Смета в налоговую'!C87,Просчет!H82,""),IF(Просчет!I83='Смета в налоговую'!C87,Просчет!H83,""),IF(Просчет!I84='Смета в налоговую'!C87,Просчет!H84,""),IF(Просчет!I85='Смета в налоговую'!C87,Просчет!H85,""),IF(Просчет!I86='Смета в налоговую'!C87,Просчет!H86,""))</f>
        <v/>
      </c>
      <c r="C87" s="270" t="s">
        <v>793</v>
      </c>
      <c r="D87" s="225">
        <f>Просчет!B234</f>
        <v>0</v>
      </c>
      <c r="E87" s="208" t="s">
        <v>4</v>
      </c>
      <c r="F87" s="251"/>
      <c r="G87" s="208">
        <f t="shared" si="2"/>
        <v>0</v>
      </c>
      <c r="H87" s="209">
        <f t="shared" si="3"/>
        <v>0</v>
      </c>
      <c r="J87" s="297"/>
    </row>
    <row r="88" spans="1:10" s="4" customFormat="1" x14ac:dyDescent="0.25">
      <c r="A88" s="308"/>
      <c r="B88" s="281" t="str">
        <f>_xlfn.TEXTJOIN(", ",,IF(Просчет!I81='Смета в налоговую'!C88,Просчет!H81,""),IF(Просчет!I82='Смета в налоговую'!C88,Просчет!H82,""),IF(Просчет!I83='Смета в налоговую'!C88,Просчет!H83,""),IF(Просчет!I84='Смета в налоговую'!C88,Просчет!H84,""),IF(Просчет!I85='Смета в налоговую'!C88,Просчет!H85,""),IF(Просчет!I86='Смета в налоговую'!C88,Просчет!H86,""),IF(Просчет!I80='Смета в налоговую'!C88,Просчет!H80,""))</f>
        <v/>
      </c>
      <c r="C88" s="270" t="s">
        <v>877</v>
      </c>
      <c r="D88" s="225">
        <f>Просчет!B134</f>
        <v>0</v>
      </c>
      <c r="E88" s="208" t="s">
        <v>4</v>
      </c>
      <c r="F88" s="225">
        <v>275</v>
      </c>
      <c r="G88" s="208">
        <f t="shared" si="2"/>
        <v>121.00000000000001</v>
      </c>
      <c r="H88" s="209">
        <f t="shared" si="3"/>
        <v>0</v>
      </c>
      <c r="J88" s="297"/>
    </row>
    <row r="89" spans="1:10" s="4" customFormat="1" x14ac:dyDescent="0.25">
      <c r="A89" s="308"/>
      <c r="B89" s="281" t="str">
        <f>_xlfn.TEXTJOIN(", ",,IF(Просчет!I82='Смета в налоговую'!C89,Просчет!H82,""),IF(Просчет!I83='Смета в налоговую'!C89,Просчет!H83,""),IF(Просчет!I84='Смета в налоговую'!C89,Просчет!H84,""),IF(Просчет!I85='Смета в налоговую'!C89,Просчет!H85,""),IF(Просчет!I86='Смета в налоговую'!C89,Просчет!H86,""),IF(Просчет!I80='Смета в налоговую'!C89,Просчет!H80,""),IF(Просчет!I81='Смета в налоговую'!C89,Просчет!H81,""))</f>
        <v/>
      </c>
      <c r="C89" s="270" t="s">
        <v>880</v>
      </c>
      <c r="D89" s="225">
        <f>Просчет!B136</f>
        <v>0</v>
      </c>
      <c r="E89" s="208" t="s">
        <v>4</v>
      </c>
      <c r="F89" s="225">
        <v>194</v>
      </c>
      <c r="G89" s="208">
        <f t="shared" si="2"/>
        <v>85.36</v>
      </c>
      <c r="H89" s="209">
        <f t="shared" si="3"/>
        <v>0</v>
      </c>
      <c r="J89" s="297"/>
    </row>
    <row r="90" spans="1:10" s="4" customFormat="1" x14ac:dyDescent="0.25">
      <c r="A90" s="308"/>
      <c r="B90" s="281" t="str">
        <f>_xlfn.TEXTJOIN(", ",,IF(Просчет!I83='Смета в налоговую'!C90,Просчет!H83,""),IF(Просчет!I84='Смета в налоговую'!C90,Просчет!H84,""),IF(Просчет!I85='Смета в налоговую'!C90,Просчет!H85,""),IF(Просчет!I86='Смета в налоговую'!C90,Просчет!H86,""),IF(Просчет!I80='Смета в налоговую'!C90,Просчет!H80,""),IF(Просчет!I81='Смета в налоговую'!C90,Просчет!H81,""),IF(Просчет!I82='Смета в налоговую'!C90,Просчет!H82,""))</f>
        <v/>
      </c>
      <c r="C90" s="270" t="s">
        <v>876</v>
      </c>
      <c r="D90" s="225">
        <f>Просчет!B137</f>
        <v>99</v>
      </c>
      <c r="E90" s="208" t="s">
        <v>4</v>
      </c>
      <c r="F90" s="225">
        <v>450</v>
      </c>
      <c r="G90" s="208">
        <f t="shared" si="2"/>
        <v>198.00000000000003</v>
      </c>
      <c r="H90" s="209">
        <f t="shared" si="3"/>
        <v>64152</v>
      </c>
      <c r="J90" s="297"/>
    </row>
    <row r="91" spans="1:10" s="4" customFormat="1" x14ac:dyDescent="0.25">
      <c r="A91" s="308"/>
      <c r="B91" s="281" t="str">
        <f>_xlfn.TEXTJOIN(", ",,IF(Просчет!I84='Смета в налоговую'!C91,Просчет!H84,""),IF(Просчет!I85='Смета в налоговую'!C91,Просчет!H85,""),IF(Просчет!I86='Смета в налоговую'!C91,Просчет!H86,""),IF(Просчет!I80='Смета в налоговую'!C91,Просчет!H80,""),IF(Просчет!I81='Смета в налоговую'!C91,Просчет!H81,""),IF(Просчет!I82='Смета в налоговую'!C91,Просчет!H82,""),IF(Просчет!I83='Смета в налоговую'!C91,Просчет!H83,""))</f>
        <v/>
      </c>
      <c r="C91" s="270" t="s">
        <v>792</v>
      </c>
      <c r="D91" s="225">
        <f>Просчет!B235</f>
        <v>0</v>
      </c>
      <c r="E91" s="208" t="s">
        <v>4</v>
      </c>
      <c r="F91" s="251"/>
      <c r="G91" s="208">
        <f t="shared" si="2"/>
        <v>0</v>
      </c>
      <c r="H91" s="209">
        <f t="shared" si="3"/>
        <v>0</v>
      </c>
      <c r="J91" s="297"/>
    </row>
    <row r="92" spans="1:10" s="4" customFormat="1" ht="30.75" thickBot="1" x14ac:dyDescent="0.3">
      <c r="A92" s="308"/>
      <c r="B92" s="282" t="s">
        <v>791</v>
      </c>
      <c r="C92" s="272" t="s">
        <v>794</v>
      </c>
      <c r="D92" s="239">
        <f>Просчет!B236</f>
        <v>0</v>
      </c>
      <c r="E92" s="226" t="s">
        <v>0</v>
      </c>
      <c r="F92" s="239">
        <v>500</v>
      </c>
      <c r="G92" s="226">
        <f t="shared" si="2"/>
        <v>220.00000000000003</v>
      </c>
      <c r="H92" s="235">
        <f t="shared" si="3"/>
        <v>0</v>
      </c>
      <c r="J92" s="297"/>
    </row>
    <row r="93" spans="1:10" s="65" customFormat="1" ht="15.75" thickBot="1" x14ac:dyDescent="0.3">
      <c r="A93" s="353">
        <f>A79+1</f>
        <v>4</v>
      </c>
      <c r="B93" s="615" t="s">
        <v>894</v>
      </c>
      <c r="C93" s="615"/>
      <c r="D93" s="615"/>
      <c r="E93" s="615"/>
      <c r="F93" s="615"/>
      <c r="G93" s="615"/>
      <c r="H93" s="616"/>
      <c r="J93" s="298"/>
    </row>
    <row r="94" spans="1:10" s="4" customFormat="1" ht="13.15" customHeight="1" x14ac:dyDescent="0.25">
      <c r="A94" s="308"/>
      <c r="B94" s="284" t="s">
        <v>800</v>
      </c>
      <c r="C94" s="238" t="s">
        <v>803</v>
      </c>
      <c r="D94" s="285">
        <f>Просчет!B243+Просчет!B244*0.5</f>
        <v>0</v>
      </c>
      <c r="E94" s="285" t="s">
        <v>0</v>
      </c>
      <c r="F94" s="285">
        <v>938</v>
      </c>
      <c r="G94" s="240">
        <f t="shared" si="2"/>
        <v>412.72</v>
      </c>
      <c r="H94" s="241">
        <f t="shared" si="3"/>
        <v>0</v>
      </c>
      <c r="J94" s="297"/>
    </row>
    <row r="95" spans="1:10" s="4" customFormat="1" x14ac:dyDescent="0.25">
      <c r="A95" s="308"/>
      <c r="B95" s="281" t="s">
        <v>801</v>
      </c>
      <c r="C95" s="270" t="s">
        <v>860</v>
      </c>
      <c r="D95" s="225">
        <f>Просчет!B278</f>
        <v>0</v>
      </c>
      <c r="E95" s="225" t="s">
        <v>0</v>
      </c>
      <c r="F95" s="225">
        <v>900</v>
      </c>
      <c r="G95" s="208">
        <f t="shared" si="2"/>
        <v>396.00000000000006</v>
      </c>
      <c r="H95" s="209">
        <f t="shared" si="3"/>
        <v>0</v>
      </c>
      <c r="J95" s="297"/>
    </row>
    <row r="96" spans="1:10" s="4" customFormat="1" x14ac:dyDescent="0.25">
      <c r="A96" s="308"/>
      <c r="B96" s="281" t="s">
        <v>801</v>
      </c>
      <c r="C96" s="270" t="s">
        <v>804</v>
      </c>
      <c r="D96" s="225">
        <f>Просчет!B245+Просчет!B246*0.5</f>
        <v>0</v>
      </c>
      <c r="E96" s="225" t="s">
        <v>0</v>
      </c>
      <c r="F96" s="225">
        <v>788</v>
      </c>
      <c r="G96" s="208">
        <f t="shared" si="2"/>
        <v>346.72</v>
      </c>
      <c r="H96" s="209">
        <f t="shared" si="3"/>
        <v>0</v>
      </c>
      <c r="J96" s="297"/>
    </row>
    <row r="97" spans="1:13" s="4" customFormat="1" x14ac:dyDescent="0.25">
      <c r="A97" s="308"/>
      <c r="B97" s="281" t="s">
        <v>802</v>
      </c>
      <c r="C97" s="270" t="s">
        <v>805</v>
      </c>
      <c r="D97" s="225">
        <f>Просчет!B247+Просчет!B248*0.5</f>
        <v>0</v>
      </c>
      <c r="E97" s="225" t="s">
        <v>0</v>
      </c>
      <c r="F97" s="225">
        <v>2313</v>
      </c>
      <c r="G97" s="208">
        <f t="shared" si="2"/>
        <v>1017.7200000000001</v>
      </c>
      <c r="H97" s="209">
        <f t="shared" si="3"/>
        <v>0</v>
      </c>
      <c r="J97" s="297"/>
    </row>
    <row r="98" spans="1:13" s="4" customFormat="1" x14ac:dyDescent="0.25">
      <c r="A98" s="308"/>
      <c r="B98" s="281" t="s">
        <v>802</v>
      </c>
      <c r="C98" s="270" t="s">
        <v>806</v>
      </c>
      <c r="D98" s="225">
        <f>Просчет!B249+Просчет!B250*0.5</f>
        <v>0</v>
      </c>
      <c r="E98" s="225" t="s">
        <v>0</v>
      </c>
      <c r="F98" s="225">
        <v>875</v>
      </c>
      <c r="G98" s="208">
        <f t="shared" si="2"/>
        <v>385.00000000000006</v>
      </c>
      <c r="H98" s="209">
        <f t="shared" si="3"/>
        <v>0</v>
      </c>
      <c r="J98" s="297"/>
    </row>
    <row r="99" spans="1:13" s="4" customFormat="1" x14ac:dyDescent="0.25">
      <c r="A99" s="308"/>
      <c r="B99" s="281" t="s">
        <v>800</v>
      </c>
      <c r="C99" s="270" t="s">
        <v>807</v>
      </c>
      <c r="D99" s="225">
        <f>Просчет!B251</f>
        <v>3</v>
      </c>
      <c r="E99" s="225" t="s">
        <v>0</v>
      </c>
      <c r="F99" s="225">
        <v>2194</v>
      </c>
      <c r="G99" s="208">
        <f t="shared" si="2"/>
        <v>965.36000000000013</v>
      </c>
      <c r="H99" s="209">
        <f t="shared" si="3"/>
        <v>9478.08</v>
      </c>
      <c r="J99" s="297"/>
    </row>
    <row r="100" spans="1:13" s="4" customFormat="1" x14ac:dyDescent="0.25">
      <c r="A100" s="308"/>
      <c r="B100" s="281" t="s">
        <v>801</v>
      </c>
      <c r="C100" s="270" t="s">
        <v>808</v>
      </c>
      <c r="D100" s="225">
        <f>Просчет!B252</f>
        <v>0.5</v>
      </c>
      <c r="E100" s="225" t="s">
        <v>0</v>
      </c>
      <c r="F100" s="225">
        <v>1735</v>
      </c>
      <c r="G100" s="208">
        <f t="shared" si="2"/>
        <v>763.40000000000009</v>
      </c>
      <c r="H100" s="209">
        <f t="shared" si="3"/>
        <v>1249.2</v>
      </c>
      <c r="J100" s="297"/>
    </row>
    <row r="101" spans="1:13" s="4" customFormat="1" ht="15.75" thickBot="1" x14ac:dyDescent="0.3">
      <c r="A101" s="308"/>
      <c r="B101" s="282" t="s">
        <v>802</v>
      </c>
      <c r="C101" s="272" t="s">
        <v>809</v>
      </c>
      <c r="D101" s="239">
        <f>Просчет!B253</f>
        <v>3</v>
      </c>
      <c r="E101" s="239" t="s">
        <v>0</v>
      </c>
      <c r="F101" s="239">
        <v>3905</v>
      </c>
      <c r="G101" s="226">
        <f t="shared" si="2"/>
        <v>1718.2</v>
      </c>
      <c r="H101" s="235">
        <f t="shared" si="3"/>
        <v>16869.599999999999</v>
      </c>
      <c r="J101" s="297"/>
    </row>
    <row r="102" spans="1:13" s="65" customFormat="1" ht="15.75" thickBot="1" x14ac:dyDescent="0.3">
      <c r="A102" s="353">
        <f>A93+1</f>
        <v>5</v>
      </c>
      <c r="B102" s="615" t="s">
        <v>810</v>
      </c>
      <c r="C102" s="615"/>
      <c r="D102" s="615"/>
      <c r="E102" s="615"/>
      <c r="F102" s="615"/>
      <c r="G102" s="615"/>
      <c r="H102" s="616"/>
      <c r="J102" s="298"/>
    </row>
    <row r="103" spans="1:13" s="4" customFormat="1" ht="30" x14ac:dyDescent="0.25">
      <c r="A103" s="308"/>
      <c r="B103" s="284" t="str">
        <f>_xlfn.TEXTJOIN(", ",,IF(Просчет!I88='Смета в налоговую'!C103,Просчет!H88,""),IF(Просчет!I89='Смета в налоговую'!C103,Просчет!H89,""),IF(Просчет!I90='Смета в налоговую'!C103,Просчет!H90,""),IF(Просчет!I91='Смета в налоговую'!C103,Просчет!H91,""),IF(Просчет!I92='Смета в налоговую'!C103,Просчет!H92,""),IF(Просчет!I93='Смета в налоговую'!C103,Просчет!H93,""),IF(Просчет!I95='Смета в налоговую'!C103,Просчет!H95,""),IF(Просчет!I97='Смета в налоговую'!C103,Просчет!H97,""),IF(Просчет!I99='Смета в налоговую'!C103,Просчет!H99,""),IF(Просчет!I100='Смета в налоговую'!C103,Просчет!H100,""))</f>
        <v/>
      </c>
      <c r="C103" s="238" t="s">
        <v>815</v>
      </c>
      <c r="D103" s="285">
        <f>Просчет!B238</f>
        <v>29.7</v>
      </c>
      <c r="E103" s="285" t="str">
        <f>Просчет!C238</f>
        <v>м3</v>
      </c>
      <c r="F103" s="285">
        <v>1382</v>
      </c>
      <c r="G103" s="240">
        <f t="shared" si="2"/>
        <v>608.08000000000004</v>
      </c>
      <c r="H103" s="241">
        <f t="shared" si="3"/>
        <v>59105.375999999997</v>
      </c>
      <c r="J103" s="297"/>
    </row>
    <row r="104" spans="1:13" s="4" customFormat="1" ht="30" x14ac:dyDescent="0.25">
      <c r="A104" s="308"/>
      <c r="B104" s="281" t="str">
        <f>_xlfn.TEXTJOIN(", ",,IF(Просчет!I89='Смета в налоговую'!C104,Просчет!H89,""),IF(Просчет!I90='Смета в налоговую'!C104,Просчет!H90,""),IF(Просчет!I91='Смета в налоговую'!C104,Просчет!H91,""),IF(Просчет!I92='Смета в налоговую'!C104,Просчет!H92,""),IF(Просчет!I93='Смета в налоговую'!C104,Просчет!H93,""),IF(Просчет!I95='Смета в налоговую'!C104,Просчет!H95,""),IF(Просчет!I97='Смета в налоговую'!C104,Просчет!H97,""),IF(Просчет!I99='Смета в налоговую'!C104,Просчет!H99,""),IF(Просчет!I100='Смета в налоговую'!C104,Просчет!H100,""),IF(Просчет!I88='Смета в налоговую'!C104,Просчет!H88,""))</f>
        <v/>
      </c>
      <c r="C104" s="270" t="s">
        <v>816</v>
      </c>
      <c r="D104" s="225">
        <f>Просчет!B240</f>
        <v>0</v>
      </c>
      <c r="E104" s="225" t="str">
        <f>Просчет!C240</f>
        <v>м3</v>
      </c>
      <c r="F104" s="225">
        <v>1680</v>
      </c>
      <c r="G104" s="208">
        <f t="shared" si="2"/>
        <v>739.2</v>
      </c>
      <c r="H104" s="209">
        <f t="shared" si="3"/>
        <v>0</v>
      </c>
      <c r="J104" s="297"/>
    </row>
    <row r="105" spans="1:13" s="4" customFormat="1" ht="30" x14ac:dyDescent="0.25">
      <c r="A105" s="308"/>
      <c r="B105" s="281" t="str">
        <f>_xlfn.TEXTJOIN(", ",,IF(Просчет!I90='Смета в налоговую'!C105,Просчет!H90,""),IF(Просчет!I91='Смета в налоговую'!C105,Просчет!H91,""),IF(Просчет!I92='Смета в налоговую'!C105,Просчет!H92,""),IF(Просчет!I93='Смета в налоговую'!C105,Просчет!H93,""),IF(Просчет!I95='Смета в налоговую'!C105,Просчет!H95,""),IF(Просчет!I97='Смета в налоговую'!C105,Просчет!H97,""),IF(Просчет!I99='Смета в налоговую'!C105,Просчет!H99,""),IF(Просчет!I100='Смета в налоговую'!C105,Просчет!H100,""),IF(Просчет!I88='Смета в налоговую'!C105,Просчет!H88,""),IF(Просчет!I89='Смета в налоговую'!C105,Просчет!H89,""))</f>
        <v/>
      </c>
      <c r="C105" s="270" t="s">
        <v>814</v>
      </c>
      <c r="D105" s="225">
        <f>Просчет!B241</f>
        <v>0</v>
      </c>
      <c r="E105" s="225" t="str">
        <f>Просчет!C241</f>
        <v>м3</v>
      </c>
      <c r="F105" s="225">
        <v>1680</v>
      </c>
      <c r="G105" s="208">
        <f t="shared" si="2"/>
        <v>739.2</v>
      </c>
      <c r="H105" s="209">
        <f t="shared" si="3"/>
        <v>0</v>
      </c>
      <c r="J105" s="297"/>
    </row>
    <row r="106" spans="1:13" s="4" customFormat="1" ht="15.75" thickBot="1" x14ac:dyDescent="0.3">
      <c r="A106" s="308"/>
      <c r="B106" s="282" t="str">
        <f>_xlfn.TEXTJOIN(", ",,IF(Просчет!I91='Смета в налоговую'!C106,Просчет!H91,""),IF(Просчет!I92='Смета в налоговую'!C106,Просчет!H92,""),IF(Просчет!I93='Смета в налоговую'!C106,Просчет!H93,""),IF(Просчет!I95='Смета в налоговую'!C106,Просчет!H95,""),IF(Просчет!I97='Смета в налоговую'!C106,Просчет!H97,""),IF(Просчет!I99='Смета в налоговую'!C106,Просчет!H99,""),IF(Просчет!I100='Смета в налоговую'!C106,Просчет!H100,""),IF(Просчет!I88='Смета в налоговую'!C106,Просчет!H88,""),IF(Просчет!I89='Смета в налоговую'!C106,Просчет!H89,""),IF(Просчет!I90='Смета в налоговую'!C106,Просчет!H90,""))</f>
        <v/>
      </c>
      <c r="C106" s="272" t="str">
        <f>Просчет!A242</f>
        <v>Пенополистерол 1180х580х50мм</v>
      </c>
      <c r="D106" s="239">
        <f>1.2*0.6*0.05*Просчет!B242</f>
        <v>0</v>
      </c>
      <c r="E106" s="239" t="s">
        <v>1</v>
      </c>
      <c r="F106" s="239">
        <v>4862</v>
      </c>
      <c r="G106" s="226">
        <f t="shared" si="2"/>
        <v>2139.2800000000002</v>
      </c>
      <c r="H106" s="235">
        <f t="shared" si="3"/>
        <v>0</v>
      </c>
      <c r="J106" s="297"/>
    </row>
    <row r="107" spans="1:13" s="65" customFormat="1" ht="15.75" thickBot="1" x14ac:dyDescent="0.3">
      <c r="A107" s="353">
        <f>A102+1</f>
        <v>6</v>
      </c>
      <c r="B107" s="615" t="s">
        <v>817</v>
      </c>
      <c r="C107" s="615"/>
      <c r="D107" s="615"/>
      <c r="E107" s="615"/>
      <c r="F107" s="615"/>
      <c r="G107" s="615"/>
      <c r="H107" s="616"/>
      <c r="J107" s="298"/>
    </row>
    <row r="108" spans="1:13" s="4" customFormat="1" x14ac:dyDescent="0.25">
      <c r="A108" s="308"/>
      <c r="B108" s="284" t="str">
        <f>_xlfn.TEXTJOIN(", ",,IF(Просчет!I102='Смета в налоговую'!C108,Просчет!H102,""),IF(Просчет!I103='Смета в налоговую'!C108,Просчет!H103,""),IF(Просчет!I104='Смета в налоговую'!C108,Просчет!H104,""),IF(Просчет!I105='Смета в налоговую'!C108,Просчет!H105,""),IF(Просчет!I106='Смета в налоговую'!C108,Просчет!H106,""),IF(Просчет!I107='Смета в налоговую'!C108,Просчет!H107,""),IF(Просчет!I108='Смета в налоговую'!C108,Просчет!H108,""),IF(Просчет!I109='Смета в налоговую'!C108,Просчет!H109,""),IF(Просчет!I110='Смета в налоговую'!C108,Просчет!H110,""))</f>
        <v/>
      </c>
      <c r="C108" s="238" t="s">
        <v>876</v>
      </c>
      <c r="D108" s="285">
        <f>Просчет!B138</f>
        <v>141</v>
      </c>
      <c r="E108" s="285" t="str">
        <f>Просчет!C138</f>
        <v>м2</v>
      </c>
      <c r="F108" s="285">
        <v>450</v>
      </c>
      <c r="G108" s="240">
        <f t="shared" si="2"/>
        <v>198.00000000000003</v>
      </c>
      <c r="H108" s="241">
        <f t="shared" si="3"/>
        <v>91368</v>
      </c>
      <c r="J108" s="299" t="s">
        <v>862</v>
      </c>
      <c r="K108" s="65"/>
      <c r="L108" s="65"/>
      <c r="M108" s="65"/>
    </row>
    <row r="109" spans="1:13" s="4" customFormat="1" x14ac:dyDescent="0.25">
      <c r="A109" s="308"/>
      <c r="B109" s="281" t="str">
        <f>_xlfn.TEXTJOIN(", ",,IF(Просчет!I103='Смета в налоговую'!C109,Просчет!H103,""),IF(Просчет!I104='Смета в налоговую'!C109,Просчет!H104,""),IF(Просчет!I105='Смета в налоговую'!C109,Просчет!H105,""),IF(Просчет!I106='Смета в налоговую'!C109,Просчет!H106,""),IF(Просчет!I107='Смета в налоговую'!C109,Просчет!H107,""),IF(Просчет!I108='Смета в налоговую'!C109,Просчет!H108,""),IF(Просчет!I109='Смета в налоговую'!C109,Просчет!H109,""),IF(Просчет!I110='Смета в налоговую'!C109,Просчет!H110,""),IF(Просчет!I102='Смета в налоговую'!C109,Просчет!H102,""))</f>
        <v/>
      </c>
      <c r="C109" s="270" t="s">
        <v>875</v>
      </c>
      <c r="D109" s="225">
        <f>Просчет!B141</f>
        <v>0</v>
      </c>
      <c r="E109" s="225" t="str">
        <f>Просчет!C141</f>
        <v>м2</v>
      </c>
      <c r="F109" s="225">
        <v>450</v>
      </c>
      <c r="G109" s="208">
        <f t="shared" si="2"/>
        <v>198.00000000000003</v>
      </c>
      <c r="H109" s="209">
        <f t="shared" si="3"/>
        <v>0</v>
      </c>
      <c r="J109" s="299" t="s">
        <v>862</v>
      </c>
      <c r="K109" s="65"/>
      <c r="L109" s="65"/>
      <c r="M109" s="65"/>
    </row>
    <row r="110" spans="1:13" ht="30" x14ac:dyDescent="0.25">
      <c r="A110" s="308"/>
      <c r="B110" s="281" t="str">
        <f>_xlfn.TEXTJOIN(", ",,IF(Просчет!I104='Смета в налоговую'!C110,Просчет!H104,""),IF(Просчет!I105='Смета в налоговую'!C110,Просчет!H105,""),IF(Просчет!I106='Смета в налоговую'!C110,Просчет!H106,""),IF(Просчет!I107='Смета в налоговую'!C110,Просчет!H107,""),IF(Просчет!I108='Смета в налоговую'!C110,Просчет!H108,""),IF(Просчет!I109='Смета в налоговую'!C110,Просчет!H109,""),IF(Просчет!I110='Смета в налоговую'!C110,Просчет!H110,""),IF(Просчет!I102='Смета в налоговую'!C110,Просчет!H102,""),IF(Просчет!I103='Смета в налоговую'!C110,Просчет!H103,""))</f>
        <v/>
      </c>
      <c r="C110" s="208" t="str">
        <f>Просчет!A118</f>
        <v>Террасная доска 112х24 - 6м, Сорт АВ</v>
      </c>
      <c r="D110" s="225">
        <f>IF(ISNUMBER(SEARCH("Наружная отделка",B110)),Просчет!B118,0)</f>
        <v>0</v>
      </c>
      <c r="E110" s="225" t="str">
        <f>Просчет!C118</f>
        <v>м2</v>
      </c>
      <c r="F110" s="225">
        <v>525</v>
      </c>
      <c r="G110" s="208">
        <f t="shared" si="2"/>
        <v>231.00000000000003</v>
      </c>
      <c r="H110" s="209">
        <f t="shared" si="3"/>
        <v>0</v>
      </c>
      <c r="J110" s="298"/>
      <c r="K110" s="65"/>
      <c r="L110" s="65"/>
      <c r="M110" s="65"/>
    </row>
    <row r="111" spans="1:13" s="4" customFormat="1" x14ac:dyDescent="0.25">
      <c r="A111" s="308"/>
      <c r="B111" s="281" t="str">
        <f>_xlfn.TEXTJOIN(", ",,IF(Просчет!I105='Смета в налоговую'!C111,Просчет!H105,""),IF(Просчет!I106='Смета в налоговую'!C111,Просчет!H106,""),IF(Просчет!I107='Смета в налоговую'!C111,Просчет!H107,""),IF(Просчет!I108='Смета в налоговую'!C111,Просчет!H108,""),IF(Просчет!I109='Смета в налоговую'!C111,Просчет!H109,""),IF(Просчет!I110='Смета в налоговую'!C111,Просчет!H110,""),IF(Просчет!I102='Смета в налоговую'!C111,Просчет!H102,""),IF(Просчет!I103='Смета в налоговую'!C111,Просчет!H103,""),IF(Просчет!I104='Смета в налоговую'!C111,Просчет!H104,""))</f>
        <v/>
      </c>
      <c r="C111" s="208" t="str">
        <f>Просчет!A119</f>
        <v>Калибровка 140х35- 6м</v>
      </c>
      <c r="D111" s="225">
        <f>IF(ISNUMBER(SEARCH("Наружная отделка",B111)),Просчет!B119,0)</f>
        <v>0</v>
      </c>
      <c r="E111" s="225" t="str">
        <f>Просчет!C119</f>
        <v>шт</v>
      </c>
      <c r="F111" s="225">
        <v>625</v>
      </c>
      <c r="G111" s="208">
        <f t="shared" si="2"/>
        <v>275</v>
      </c>
      <c r="H111" s="209">
        <f t="shared" si="3"/>
        <v>0</v>
      </c>
      <c r="J111" s="298"/>
      <c r="K111" s="65"/>
      <c r="L111" s="65"/>
      <c r="M111" s="65"/>
    </row>
    <row r="112" spans="1:13" s="4" customFormat="1" x14ac:dyDescent="0.25">
      <c r="A112" s="308"/>
      <c r="B112" s="281" t="str">
        <f>_xlfn.TEXTJOIN(", ",,IF(Просчет!I106='Смета в налоговую'!C112,Просчет!H106,""),IF(Просчет!I107='Смета в налоговую'!C112,Просчет!H107,""),IF(Просчет!I108='Смета в налоговую'!C112,Просчет!H108,""),IF(Просчет!I109='Смета в налоговую'!C112,Просчет!H109,""),IF(Просчет!I110='Смета в налоговую'!C112,Просчет!H110,""),IF(Просчет!I102='Смета в налоговую'!C112,Просчет!H102,""),IF(Просчет!I103='Смета в налоговую'!C112,Просчет!H103,""),IF(Просчет!I104='Смета в налоговую'!C112,Просчет!H104,""),IF(Просчет!I105='Смета в налоговую'!C112,Просчет!H105,""))</f>
        <v/>
      </c>
      <c r="C112" s="208" t="str">
        <f>Просчет!A120</f>
        <v>Шпунтовка 90х26 - 6м, Сорт АВ</v>
      </c>
      <c r="D112" s="225">
        <f>IF(ISNUMBER(SEARCH("Наружная отделка",B112)),Просчет!B120,0)</f>
        <v>0</v>
      </c>
      <c r="E112" s="225" t="str">
        <f>Просчет!C120</f>
        <v>м2</v>
      </c>
      <c r="F112" s="225">
        <v>525</v>
      </c>
      <c r="G112" s="208">
        <f t="shared" si="2"/>
        <v>231.00000000000003</v>
      </c>
      <c r="H112" s="209">
        <f t="shared" si="3"/>
        <v>0</v>
      </c>
      <c r="J112" s="298"/>
      <c r="K112" s="65"/>
      <c r="L112" s="65"/>
      <c r="M112" s="65"/>
    </row>
    <row r="113" spans="1:13" s="4" customFormat="1" x14ac:dyDescent="0.25">
      <c r="A113" s="308"/>
      <c r="B113" s="281" t="str">
        <f>_xlfn.TEXTJOIN(", ",,IF(Просчет!I107='Смета в налоговую'!C113,Просчет!H107,""),IF(Просчет!I108='Смета в налоговую'!C113,Просчет!H108,""),IF(Просчет!I109='Смета в налоговую'!C113,Просчет!H109,""),IF(Просчет!I110='Смета в налоговую'!C113,Просчет!H110,""),IF(Просчет!I102='Смета в налоговую'!C113,Просчет!H102,""),IF(Просчет!I103='Смета в налоговую'!C113,Просчет!H103,""),IF(Просчет!I104='Смета в налоговую'!C113,Просчет!H104,""),IF(Просчет!I105='Смета в налоговую'!C113,Просчет!H105,""),IF(Просчет!I106='Смета в налоговую'!C113,Просчет!H106,""))</f>
        <v/>
      </c>
      <c r="C113" s="208" t="str">
        <f>Просчет!A121</f>
        <v>Шпунтовка 135х35 - 6м, Сорт АВ</v>
      </c>
      <c r="D113" s="225">
        <f>IF(ISNUMBER(SEARCH("Наружная отделка",B113)),Просчет!B121,0)</f>
        <v>0</v>
      </c>
      <c r="E113" s="225" t="str">
        <f>Просчет!C121</f>
        <v>м2</v>
      </c>
      <c r="F113" s="225">
        <v>700</v>
      </c>
      <c r="G113" s="208">
        <f t="shared" si="2"/>
        <v>308</v>
      </c>
      <c r="H113" s="209">
        <f t="shared" si="3"/>
        <v>0</v>
      </c>
      <c r="J113" s="298"/>
      <c r="K113" s="65"/>
      <c r="L113" s="65"/>
      <c r="M113" s="65"/>
    </row>
    <row r="114" spans="1:13" s="4" customFormat="1" x14ac:dyDescent="0.25">
      <c r="A114" s="308"/>
      <c r="B114" s="281" t="str">
        <f>_xlfn.TEXTJOIN(", ",,IF(Просчет!I108='Смета в налоговую'!C114,Просчет!H108,""),IF(Просчет!I109='Смета в налоговую'!C114,Просчет!H109,""),IF(Просчет!I110='Смета в налоговую'!C114,Просчет!H110,""),IF(Просчет!I102='Смета в налоговую'!C114,Просчет!H102,""),IF(Просчет!I103='Смета в налоговую'!C114,Просчет!H103,""),IF(Просчет!I104='Смета в налоговую'!C114,Просчет!H104,""),IF(Просчет!I105='Смета в налоговую'!C114,Просчет!H105,""),IF(Просчет!I106='Смета в налоговую'!C114,Просчет!H106,""),IF(Просчет!I107='Смета в налоговую'!C114,Просчет!H107,""))</f>
        <v/>
      </c>
      <c r="C114" s="270" t="str">
        <f>Просчет!A122</f>
        <v>ОСБ-3 9мм</v>
      </c>
      <c r="D114" s="225">
        <f>IF(ISNUMBER(SEARCH("Наружная отделка",B114)),Просчет!B122,0)</f>
        <v>0</v>
      </c>
      <c r="E114" s="208" t="str">
        <f>Просчет!C122</f>
        <v>шт</v>
      </c>
      <c r="F114" s="225">
        <v>813</v>
      </c>
      <c r="G114" s="208">
        <f t="shared" si="2"/>
        <v>357.72</v>
      </c>
      <c r="H114" s="209">
        <f t="shared" si="3"/>
        <v>0</v>
      </c>
      <c r="J114" s="298"/>
      <c r="K114" s="65"/>
      <c r="L114" s="65"/>
      <c r="M114" s="65"/>
    </row>
    <row r="115" spans="1:13" s="4" customFormat="1" x14ac:dyDescent="0.25">
      <c r="A115" s="308"/>
      <c r="B115" s="281" t="str">
        <f>_xlfn.TEXTJOIN(", ",,IF(Просчет!I109='Смета в налоговую'!C115,Просчет!H109,""),IF(Просчет!I110='Смета в налоговую'!C115,Просчет!H110,""),IF(Просчет!I102='Смета в налоговую'!C115,Просчет!H102,""),IF(Просчет!I103='Смета в налоговую'!C115,Просчет!H103,""),IF(Просчет!I104='Смета в налоговую'!C115,Просчет!H104,""),IF(Просчет!I105='Смета в налоговую'!C115,Просчет!H105,""),IF(Просчет!I106='Смета в налоговую'!C115,Просчет!H106,""),IF(Просчет!I107='Смета в налоговую'!C115,Просчет!H107,""),IF(Просчет!I108='Смета в налоговую'!C115,Просчет!H108,""))</f>
        <v/>
      </c>
      <c r="C115" s="270" t="str">
        <f>Просчет!A123</f>
        <v>ОСБ-3 12мм</v>
      </c>
      <c r="D115" s="225">
        <f>IF(ISNUMBER(SEARCH("Наружная отделка",B115)),Просчет!B123,0)</f>
        <v>0</v>
      </c>
      <c r="E115" s="208" t="str">
        <f>Просчет!C123</f>
        <v>шт</v>
      </c>
      <c r="F115" s="225">
        <v>1063</v>
      </c>
      <c r="G115" s="208">
        <f t="shared" si="2"/>
        <v>467.72</v>
      </c>
      <c r="H115" s="209">
        <f t="shared" si="3"/>
        <v>0</v>
      </c>
      <c r="J115" s="298"/>
      <c r="K115" s="65"/>
      <c r="L115" s="65"/>
      <c r="M115" s="65"/>
    </row>
    <row r="116" spans="1:13" s="4" customFormat="1" x14ac:dyDescent="0.25">
      <c r="A116" s="308"/>
      <c r="B116" s="281" t="str">
        <f>_xlfn.TEXTJOIN(", ",,IF(Просчет!I110='Смета в налоговую'!C116,Просчет!H110,""),IF(Просчет!I102='Смета в налоговую'!C116,Просчет!H102,""),IF(Просчет!I103='Смета в налоговую'!C116,Просчет!H103,""),IF(Просчет!I104='Смета в налоговую'!C116,Просчет!H104,""),IF(Просчет!I105='Смета в налоговую'!C116,Просчет!H105,""),IF(Просчет!I106='Смета в налоговую'!C116,Просчет!H106,""),IF(Просчет!I107='Смета в налоговую'!C116,Просчет!H107,""),IF(Просчет!I108='Смета в налоговую'!C116,Просчет!H108,""),IF(Просчет!I109='Смета в налоговую'!C116,Просчет!H109,""))</f>
        <v/>
      </c>
      <c r="C116" s="270" t="str">
        <f>Просчет!A124</f>
        <v>Фанера 12</v>
      </c>
      <c r="D116" s="225">
        <f>IF(ISNUMBER(SEARCH("Наружная отделка",B116)),Просчет!B124,0)</f>
        <v>0</v>
      </c>
      <c r="E116" s="208" t="str">
        <f>Просчет!C124</f>
        <v>шт</v>
      </c>
      <c r="F116" s="225">
        <v>1088</v>
      </c>
      <c r="G116" s="208">
        <f t="shared" si="2"/>
        <v>478.72</v>
      </c>
      <c r="H116" s="209">
        <f t="shared" si="3"/>
        <v>0</v>
      </c>
      <c r="J116" s="298"/>
      <c r="K116" s="65"/>
      <c r="L116" s="65"/>
      <c r="M116" s="65"/>
    </row>
    <row r="117" spans="1:13" s="4" customFormat="1" x14ac:dyDescent="0.25">
      <c r="A117" s="308"/>
      <c r="B117" s="281" t="str">
        <f>_xlfn.TEXTJOIN(", ",,IF(Просчет!I102='Смета в налоговую'!C117,Просчет!H102,""),IF(Просчет!I103='Смета в налоговую'!C117,Просчет!H103,""),IF(Просчет!I104='Смета в налоговую'!C117,Просчет!H104,""),IF(Просчет!I105='Смета в налоговую'!C117,Просчет!H105,""),IF(Просчет!I106='Смета в налоговую'!C117,Просчет!H106,""),IF(Просчет!I107='Смета в налоговую'!C117,Просчет!H107,""),IF(Просчет!I108='Смета в налоговую'!C117,Просчет!H108,""),IF(Просчет!I109='Смета в налоговую'!C117,Просчет!H109,""),IF(Просчет!I110='Смета в налоговую'!C117,Просчет!H110,""))</f>
        <v/>
      </c>
      <c r="C117" s="270" t="str">
        <f>Просчет!A125</f>
        <v>ЦСП 10</v>
      </c>
      <c r="D117" s="225">
        <f>IF(ISNUMBER(SEARCH("Наружная отделка",B117)),Просчет!B125,0)</f>
        <v>0</v>
      </c>
      <c r="E117" s="208" t="str">
        <f>Просчет!C125</f>
        <v>шт</v>
      </c>
      <c r="F117" s="225">
        <v>1150</v>
      </c>
      <c r="G117" s="208">
        <f t="shared" si="2"/>
        <v>506.00000000000006</v>
      </c>
      <c r="H117" s="209">
        <f t="shared" si="3"/>
        <v>0</v>
      </c>
      <c r="J117" s="298"/>
      <c r="K117" s="65"/>
      <c r="L117" s="65"/>
      <c r="M117" s="65"/>
    </row>
    <row r="118" spans="1:13" s="4" customFormat="1" x14ac:dyDescent="0.25">
      <c r="A118" s="308"/>
      <c r="B118" s="281" t="str">
        <f>_xlfn.TEXTJOIN(", ",,IF(Просчет!I103='Смета в налоговую'!C118,Просчет!H103,""),IF(Просчет!I104='Смета в налоговую'!C118,Просчет!H104,""),IF(Просчет!I105='Смета в налоговую'!C118,Просчет!H105,""),IF(Просчет!I106='Смета в налоговую'!C118,Просчет!H106,""),IF(Просчет!I107='Смета в налоговую'!C118,Просчет!H107,""),IF(Просчет!I108='Смета в налоговую'!C118,Просчет!H108,""),IF(Просчет!I109='Смета в налоговую'!C118,Просчет!H109,""),IF(Просчет!I110='Смета в налоговую'!C118,Просчет!H110,""),IF(Просчет!I102='Смета в налоговую'!C118,Просчет!H102,""))</f>
        <v/>
      </c>
      <c r="C118" s="270" t="str">
        <f>Просчет!A126</f>
        <v>ЦСП 12</v>
      </c>
      <c r="D118" s="225">
        <f>IF(ISNUMBER(SEARCH("Наружная отделка",B118)),Просчет!B126,0)</f>
        <v>0</v>
      </c>
      <c r="E118" s="208" t="str">
        <f>Просчет!C126</f>
        <v>шт</v>
      </c>
      <c r="F118" s="225">
        <v>1438</v>
      </c>
      <c r="G118" s="208">
        <f t="shared" si="2"/>
        <v>632.72000000000014</v>
      </c>
      <c r="H118" s="209">
        <f t="shared" si="3"/>
        <v>0</v>
      </c>
      <c r="J118" s="298"/>
      <c r="K118" s="65"/>
      <c r="L118" s="65"/>
      <c r="M118" s="65"/>
    </row>
    <row r="119" spans="1:13" s="4" customFormat="1" x14ac:dyDescent="0.25">
      <c r="A119" s="308"/>
      <c r="B119" s="281" t="str">
        <f>_xlfn.TEXTJOIN(", ",,IF(Просчет!I104='Смета в налоговую'!C119,Просчет!H104,""),IF(Просчет!I105='Смета в налоговую'!C119,Просчет!H105,""),IF(Просчет!I106='Смета в налоговую'!C119,Просчет!H106,""),IF(Просчет!I107='Смета в налоговую'!C119,Просчет!H107,""),IF(Просчет!I108='Смета в налоговую'!C119,Просчет!H108,""),IF(Просчет!I109='Смета в налоговую'!C119,Просчет!H109,""),IF(Просчет!I110='Смета в налоговую'!C119,Просчет!H110,""),IF(Просчет!I102='Смета в налоговую'!C119,Просчет!H102,""),IF(Просчет!I103='Смета в налоговую'!C119,Просчет!H103,""))</f>
        <v/>
      </c>
      <c r="C119" s="270" t="str">
        <f>Просчет!A127</f>
        <v>Гипрок Стронг 15мм</v>
      </c>
      <c r="D119" s="225">
        <f>IF(ISNUMBER(SEARCH("Наружная отделка",B119)),Просчет!B127,0)</f>
        <v>0</v>
      </c>
      <c r="E119" s="208" t="str">
        <f>Просчет!C127</f>
        <v>шт</v>
      </c>
      <c r="F119" s="225">
        <v>450</v>
      </c>
      <c r="G119" s="208">
        <f t="shared" si="2"/>
        <v>198.00000000000003</v>
      </c>
      <c r="H119" s="209">
        <f t="shared" si="3"/>
        <v>0</v>
      </c>
      <c r="J119" s="298"/>
      <c r="K119" s="65"/>
      <c r="L119" s="65"/>
      <c r="M119" s="65"/>
    </row>
    <row r="120" spans="1:13" s="4" customFormat="1" x14ac:dyDescent="0.25">
      <c r="A120" s="308"/>
      <c r="B120" s="281" t="str">
        <f>_xlfn.TEXTJOIN(", ",,IF(Просчет!I105='Смета в налоговую'!C120,Просчет!H105,""),IF(Просчет!I106='Смета в налоговую'!C120,Просчет!H106,""),IF(Просчет!I107='Смета в налоговую'!C120,Просчет!H107,""),IF(Просчет!I108='Смета в налоговую'!C120,Просчет!H108,""),IF(Просчет!I109='Смета в налоговую'!C120,Просчет!H109,""),IF(Просчет!I110='Смета в налоговую'!C120,Просчет!H110,""),IF(Просчет!I102='Смета в налоговую'!C120,Просчет!H102,""),IF(Просчет!I103='Смета в налоговую'!C120,Просчет!H103,""),IF(Просчет!I104='Смета в налоговую'!C120,Просчет!H104,""))</f>
        <v/>
      </c>
      <c r="C120" s="270" t="str">
        <f>Просчет!A128</f>
        <v>Гипрок Стронг Аква 15мм</v>
      </c>
      <c r="D120" s="225">
        <f>IF(ISNUMBER(SEARCH("Наружная отделка",B120)),Просчет!B128,0)</f>
        <v>0</v>
      </c>
      <c r="E120" s="208" t="str">
        <f>Просчет!C128</f>
        <v>шт</v>
      </c>
      <c r="F120" s="225">
        <v>488</v>
      </c>
      <c r="G120" s="208">
        <f t="shared" si="2"/>
        <v>214.72</v>
      </c>
      <c r="H120" s="209">
        <f t="shared" si="3"/>
        <v>0</v>
      </c>
      <c r="J120" s="298"/>
      <c r="K120" s="65"/>
      <c r="L120" s="65"/>
      <c r="M120" s="65"/>
    </row>
    <row r="121" spans="1:13" s="4" customFormat="1" x14ac:dyDescent="0.25">
      <c r="A121" s="308"/>
      <c r="B121" s="281" t="str">
        <f>_xlfn.TEXTJOIN(", ",,IF(Просчет!I106='Смета в налоговую'!C121,Просчет!H106,""),IF(Просчет!I107='Смета в налоговую'!C121,Просчет!H107,""),IF(Просчет!I108='Смета в налоговую'!C121,Просчет!H108,""),IF(Просчет!I109='Смета в налоговую'!C121,Просчет!H109,""),IF(Просчет!I110='Смета в налоговую'!C121,Просчет!H110,""),IF(Просчет!I102='Смета в налоговую'!C121,Просчет!H102,""),IF(Просчет!I103='Смета в налоговую'!C121,Просчет!H103,""),IF(Просчет!I104='Смета в налоговую'!C121,Просчет!H104,""),IF(Просчет!I105='Смета в налоговую'!C121,Просчет!H105,""))</f>
        <v/>
      </c>
      <c r="C121" s="270" t="str">
        <f>Просчет!A129</f>
        <v>GTS, 9,5мм</v>
      </c>
      <c r="D121" s="225">
        <f>IF(ISNUMBER(SEARCH("Наружная отделка",B121)),Просчет!B129,0)</f>
        <v>0</v>
      </c>
      <c r="E121" s="208" t="str">
        <f>Просчет!C129</f>
        <v>шт</v>
      </c>
      <c r="F121" s="225">
        <v>338</v>
      </c>
      <c r="G121" s="208">
        <f t="shared" si="2"/>
        <v>148.72</v>
      </c>
      <c r="H121" s="209">
        <f t="shared" si="3"/>
        <v>0</v>
      </c>
      <c r="J121" s="298"/>
      <c r="K121" s="65"/>
      <c r="L121" s="65"/>
      <c r="M121" s="65"/>
    </row>
    <row r="122" spans="1:13" s="4" customFormat="1" x14ac:dyDescent="0.25">
      <c r="A122" s="308"/>
      <c r="B122" s="281" t="str">
        <f>_xlfn.TEXTJOIN(", ",,IF(Просчет!I107='Смета в налоговую'!C122,Просчет!H107,""),IF(Просчет!I108='Смета в налоговую'!C122,Просчет!H108,""),IF(Просчет!I109='Смета в налоговую'!C122,Просчет!H109,""),IF(Просчет!I110='Смета в налоговую'!C122,Просчет!H110,""),IF(Просчет!I102='Смета в налоговую'!C122,Просчет!H102,""),IF(Просчет!I103='Смета в налоговую'!C122,Просчет!H103,""),IF(Просчет!I104='Смета в налоговую'!C122,Просчет!H104,""),IF(Просчет!I105='Смета в налоговую'!C122,Просчет!H105,""),IF(Просчет!I106='Смета в налоговую'!C122,Просчет!H106,""))</f>
        <v/>
      </c>
      <c r="C122" s="270" t="str">
        <f>Просчет!A130</f>
        <v>Гипрок Лайт Аква 9,5мм</v>
      </c>
      <c r="D122" s="225">
        <f>IF(ISNUMBER(SEARCH("Наружная отделка",B122)),Просчет!B130,0)</f>
        <v>0</v>
      </c>
      <c r="E122" s="208" t="str">
        <f>Просчет!C130</f>
        <v>шт</v>
      </c>
      <c r="F122" s="225">
        <v>375</v>
      </c>
      <c r="G122" s="208">
        <f t="shared" si="2"/>
        <v>165</v>
      </c>
      <c r="H122" s="209">
        <f t="shared" si="3"/>
        <v>0</v>
      </c>
      <c r="J122" s="298"/>
      <c r="K122" s="65"/>
      <c r="L122" s="65"/>
      <c r="M122" s="65"/>
    </row>
    <row r="123" spans="1:13" s="4" customFormat="1" x14ac:dyDescent="0.25">
      <c r="A123" s="308"/>
      <c r="B123" s="281" t="str">
        <f>_xlfn.TEXTJOIN(", ",,IF(Просчет!I108='Смета в налоговую'!C123,Просчет!H108,""),IF(Просчет!I109='Смета в налоговую'!C123,Просчет!H109,""),IF(Просчет!I110='Смета в налоговую'!C123,Просчет!H110,""),IF(Просчет!I102='Смета в налоговую'!C123,Просчет!H102,""),IF(Просчет!I103='Смета в налоговую'!C123,Просчет!H103,""),IF(Просчет!I104='Смета в налоговую'!C123,Просчет!H104,""),IF(Просчет!I105='Смета в налоговую'!C123,Просчет!H105,""),IF(Просчет!I106='Смета в налоговую'!C123,Просчет!H106,""),IF(Просчет!I107='Смета в налоговую'!C123,Просчет!H107,""))</f>
        <v/>
      </c>
      <c r="C123" s="270" t="str">
        <f>Просчет!A131</f>
        <v>Сайдинг Docke Lux Блок-Хаус</v>
      </c>
      <c r="D123" s="225">
        <f>IF(ISNUMBER(SEARCH("Наружная отделка",B123)),Просчет!B131,0)</f>
        <v>0</v>
      </c>
      <c r="E123" s="208" t="str">
        <f>Просчет!C131</f>
        <v>м2</v>
      </c>
      <c r="F123" s="251"/>
      <c r="G123" s="208">
        <f t="shared" si="2"/>
        <v>0</v>
      </c>
      <c r="H123" s="209">
        <f t="shared" si="3"/>
        <v>0</v>
      </c>
      <c r="J123" s="298"/>
      <c r="K123" s="65"/>
      <c r="L123" s="65"/>
      <c r="M123" s="65"/>
    </row>
    <row r="124" spans="1:13" s="4" customFormat="1" ht="30" x14ac:dyDescent="0.25">
      <c r="A124" s="308"/>
      <c r="B124" s="281" t="str">
        <f>_xlfn.TEXTJOIN(", ",,IF(Просчет!I109='Смета в налоговую'!C124,Просчет!H109,""),IF(Просчет!I110='Смета в налоговую'!C124,Просчет!H110,""),IF(Просчет!I102='Смета в налоговую'!C124,Просчет!H102,""),IF(Просчет!I103='Смета в налоговую'!C124,Просчет!H103,""),IF(Просчет!I104='Смета в налоговую'!C124,Просчет!H104,""),IF(Просчет!I105='Смета в налоговую'!C124,Просчет!H105,""),IF(Просчет!I106='Смета в налоговую'!C124,Просчет!H106,""),IF(Просчет!I107='Смета в налоговую'!C124,Просчет!H107,""),IF(Просчет!I108='Смета в налоговую'!C124,Просчет!H108,""))</f>
        <v/>
      </c>
      <c r="C124" s="270" t="str">
        <f>Просчет!A132</f>
        <v>Панель Vox Solid Brick Regular (цвет - York)</v>
      </c>
      <c r="D124" s="225">
        <f>IF(ISNUMBER(SEARCH("Наружная отделка",B124)),Просчет!B132,0)</f>
        <v>0</v>
      </c>
      <c r="E124" s="208" t="str">
        <f>Просчет!C132</f>
        <v>м2</v>
      </c>
      <c r="F124" s="251"/>
      <c r="G124" s="208">
        <f t="shared" si="2"/>
        <v>0</v>
      </c>
      <c r="H124" s="209">
        <f t="shared" si="3"/>
        <v>0</v>
      </c>
      <c r="J124" s="298"/>
      <c r="K124" s="65"/>
      <c r="L124" s="65"/>
      <c r="M124" s="65"/>
    </row>
    <row r="125" spans="1:13" s="4" customFormat="1" ht="30" x14ac:dyDescent="0.25">
      <c r="A125" s="308"/>
      <c r="B125" s="281" t="str">
        <f>_xlfn.TEXTJOIN(", ",,IF(Просчет!I110='Смета в налоговую'!C125,Просчет!H110,""),IF(Просчет!I102='Смета в налоговую'!C125,Просчет!H102,""),IF(Просчет!I103='Смета в налоговую'!C125,Просчет!H103,""),IF(Просчет!I104='Смета в налоговую'!C125,Просчет!H104,""),IF(Просчет!I105='Смета в налоговую'!C125,Просчет!H105,""),IF(Просчет!I106='Смета в налоговую'!C125,Просчет!H106,""),IF(Просчет!I107='Смета в налоговую'!C125,Просчет!H107,""),IF(Просчет!I108='Смета в налоговую'!C125,Просчет!H108,""),IF(Просчет!I109='Смета в налоговую'!C125,Просчет!H109,""))</f>
        <v/>
      </c>
      <c r="C125" s="270" t="str">
        <f>Просчет!A133</f>
        <v>HAUBERK ТЕХНОНИКОЛЬ Терракотовый кирпич</v>
      </c>
      <c r="D125" s="225">
        <f>IF(ISNUMBER(SEARCH("Наружная отделка",B125)),Просчет!B133,0)</f>
        <v>0</v>
      </c>
      <c r="E125" s="208" t="str">
        <f>Просчет!C133</f>
        <v>м2</v>
      </c>
      <c r="F125" s="251"/>
      <c r="G125" s="208">
        <f t="shared" si="2"/>
        <v>0</v>
      </c>
      <c r="H125" s="209">
        <f t="shared" si="3"/>
        <v>0</v>
      </c>
      <c r="J125" s="298"/>
      <c r="K125" s="65"/>
      <c r="L125" s="65"/>
      <c r="M125" s="65"/>
    </row>
    <row r="126" spans="1:13" s="4" customFormat="1" ht="14.45" x14ac:dyDescent="0.3">
      <c r="A126" s="308"/>
      <c r="B126" s="281" t="str">
        <f>_xlfn.TEXTJOIN(", ",,IF(Просчет!I102='Смета в налоговую'!C126,Просчет!H102,""),IF(Просчет!I103='Смета в налоговую'!C126,Просчет!H103,""),IF(Просчет!I104='Смета в налоговую'!C126,Просчет!H104,""),IF(Просчет!I105='Смета в налоговую'!C126,Просчет!H105,""),IF(Просчет!I106='Смета в налоговую'!C126,Просчет!H106,""),IF(Просчет!I107='Смета в налоговую'!C126,Просчет!H107,""),IF(Просчет!I108='Смета в налоговую'!C126,Просчет!H108,""),IF(Просчет!I109='Смета в налоговую'!C126,Просчет!H109,""),IF(Просчет!I110='Смета в налоговую'!C126,Просчет!H110,""))</f>
        <v/>
      </c>
      <c r="C126" s="225" t="str">
        <f>Просчет!A140</f>
        <v>Рау-хаус 185х21- 6м, Сорт АВ</v>
      </c>
      <c r="D126" s="225">
        <f>IF(ISNUMBER(SEARCH("Наружная отделка",B126)),Просчет!B140,0)</f>
        <v>0</v>
      </c>
      <c r="E126" s="225" t="str">
        <f>Просчет!C140</f>
        <v>м2</v>
      </c>
      <c r="F126" s="225">
        <v>500</v>
      </c>
      <c r="G126" s="208">
        <f t="shared" si="2"/>
        <v>220.00000000000003</v>
      </c>
      <c r="H126" s="209">
        <f t="shared" si="3"/>
        <v>0</v>
      </c>
      <c r="J126" s="300"/>
      <c r="K126" s="65"/>
      <c r="L126" s="65"/>
      <c r="M126" s="65"/>
    </row>
    <row r="127" spans="1:13" s="4" customFormat="1" ht="14.45" x14ac:dyDescent="0.3">
      <c r="A127" s="308"/>
      <c r="B127" s="281" t="str">
        <f>_xlfn.TEXTJOIN(", ",,IF(Просчет!I103='Смета в налоговую'!C127,Просчет!H103,""),IF(Просчет!I104='Смета в налоговую'!C127,Просчет!H104,""),IF(Просчет!I105='Смета в налоговую'!C127,Просчет!H105,""),IF(Просчет!I106='Смета в налоговую'!C127,Просчет!H106,""),IF(Просчет!I107='Смета в налоговую'!C127,Просчет!H107,""),IF(Просчет!I108='Смета в налоговую'!C127,Просчет!H108,""),IF(Просчет!I109='Смета в налоговую'!C127,Просчет!H109,""),IF(Просчет!I110='Смета в налоговую'!C127,Просчет!H110,""),IF(Просчет!I102='Смета в налоговую'!C127,Просчет!H102,""))</f>
        <v/>
      </c>
      <c r="C127" s="225" t="str">
        <f>Просчет!A143</f>
        <v>Финский профиль, С (0,135)</v>
      </c>
      <c r="D127" s="225">
        <f>IF(ISNUMBER(SEARCH("Наружная отделка",B127)),Просчет!B143,0)</f>
        <v>0</v>
      </c>
      <c r="E127" s="225" t="str">
        <f>Просчет!C143</f>
        <v>м2</v>
      </c>
      <c r="F127" s="252"/>
      <c r="G127" s="208">
        <f t="shared" si="2"/>
        <v>0</v>
      </c>
      <c r="H127" s="209">
        <f t="shared" si="3"/>
        <v>0</v>
      </c>
      <c r="J127" s="298"/>
      <c r="K127" s="65"/>
      <c r="L127" s="65"/>
      <c r="M127" s="65"/>
    </row>
    <row r="128" spans="1:13" s="4" customFormat="1" ht="14.45" x14ac:dyDescent="0.3">
      <c r="A128" s="308"/>
      <c r="B128" s="281" t="str">
        <f>_xlfn.TEXTJOIN(", ",,IF(Просчет!I104='Смета в налоговую'!C128,Просчет!H104,""),IF(Просчет!I105='Смета в налоговую'!C128,Просчет!H105,""),IF(Просчет!I106='Смета в налоговую'!C128,Просчет!H106,""),IF(Просчет!I107='Смета в налоговую'!C128,Просчет!H107,""),IF(Просчет!I108='Смета в налоговую'!C128,Просчет!H108,""),IF(Просчет!I109='Смета в налоговую'!C128,Просчет!H109,""),IF(Просчет!I110='Смета в налоговую'!C128,Просчет!H110,""),IF(Просчет!I102='Смета в налоговую'!C128,Просчет!H102,""),IF(Просчет!I103='Смета в налоговую'!C128,Просчет!H103,""))</f>
        <v/>
      </c>
      <c r="C128" s="225" t="str">
        <f>Просчет!A144</f>
        <v>Блок-хаус, АВ (0,135)</v>
      </c>
      <c r="D128" s="225">
        <f>IF(ISNUMBER(SEARCH("Наружная отделка",B128)),Просчет!B144,0)</f>
        <v>0</v>
      </c>
      <c r="E128" s="225" t="str">
        <f>Просчет!C144</f>
        <v>м2</v>
      </c>
      <c r="F128" s="225">
        <v>688</v>
      </c>
      <c r="G128" s="208">
        <f t="shared" si="2"/>
        <v>302.72000000000003</v>
      </c>
      <c r="H128" s="209">
        <f t="shared" si="3"/>
        <v>0</v>
      </c>
      <c r="J128" s="298"/>
      <c r="K128" s="65"/>
      <c r="L128" s="65"/>
      <c r="M128" s="65"/>
    </row>
    <row r="129" spans="1:13" s="4" customFormat="1" ht="14.45" x14ac:dyDescent="0.3">
      <c r="A129" s="308"/>
      <c r="B129" s="281" t="str">
        <f>_xlfn.TEXTJOIN(", ",,IF(Просчет!I105='Смета в налоговую'!C129,Просчет!H105,""),IF(Просчет!I106='Смета в налоговую'!C129,Просчет!H106,""),IF(Просчет!I107='Смета в налоговую'!C129,Просчет!H107,""),IF(Просчет!I108='Смета в налоговую'!C129,Просчет!H108,""),IF(Просчет!I109='Смета в налоговую'!C129,Просчет!H109,""),IF(Просчет!I110='Смета в налоговую'!C129,Просчет!H110,""),IF(Просчет!I102='Смета в налоговую'!C129,Просчет!H102,""),IF(Просчет!I103='Смета в налоговую'!C129,Просчет!H103,""),IF(Просчет!I104='Смета в налоговую'!C129,Просчет!H104,""))</f>
        <v/>
      </c>
      <c r="C129" s="225" t="str">
        <f>Просчет!A145</f>
        <v>Блок-хаус, С (0,135)</v>
      </c>
      <c r="D129" s="225">
        <f>IF(ISNUMBER(SEARCH("Наружная отделка",B129)),Просчет!B145,0)</f>
        <v>0</v>
      </c>
      <c r="E129" s="225" t="str">
        <f>Просчет!C145</f>
        <v>м2</v>
      </c>
      <c r="F129" s="225">
        <v>688</v>
      </c>
      <c r="G129" s="208">
        <f t="shared" si="2"/>
        <v>302.72000000000003</v>
      </c>
      <c r="H129" s="209">
        <f t="shared" si="3"/>
        <v>0</v>
      </c>
      <c r="J129" s="298"/>
      <c r="K129" s="65"/>
      <c r="L129" s="65"/>
      <c r="M129" s="65"/>
    </row>
    <row r="130" spans="1:13" s="4" customFormat="1" ht="14.45" x14ac:dyDescent="0.3">
      <c r="A130" s="308"/>
      <c r="B130" s="281"/>
      <c r="C130" s="255" t="str">
        <f>Просчет!A146</f>
        <v>Укладка плитки Заказчика</v>
      </c>
      <c r="D130" s="255">
        <f>IF(ISNUMBER(SEARCH("Наружная отделка",B130)),Просчет!B146,0)</f>
        <v>0</v>
      </c>
      <c r="E130" s="255" t="str">
        <f>Просчет!C146</f>
        <v>компл.</v>
      </c>
      <c r="F130" s="255">
        <v>0</v>
      </c>
      <c r="G130" s="208">
        <f t="shared" si="2"/>
        <v>0</v>
      </c>
      <c r="H130" s="209">
        <f t="shared" si="3"/>
        <v>0</v>
      </c>
      <c r="J130" s="298"/>
      <c r="K130" s="65"/>
      <c r="L130" s="65"/>
      <c r="M130" s="65"/>
    </row>
    <row r="131" spans="1:13" s="4" customFormat="1" ht="14.45" x14ac:dyDescent="0.3">
      <c r="A131" s="308"/>
      <c r="B131" s="281"/>
      <c r="C131" s="255" t="str">
        <f>Просчет!A147</f>
        <v>Укладка ламината Заказчика</v>
      </c>
      <c r="D131" s="255">
        <f>IF(ISNUMBER(SEARCH("Наружная отделка",B131)),Просчет!B147,0)</f>
        <v>0</v>
      </c>
      <c r="E131" s="255" t="str">
        <f>Просчет!C147</f>
        <v>компл.</v>
      </c>
      <c r="F131" s="255">
        <v>0</v>
      </c>
      <c r="G131" s="208">
        <f t="shared" si="2"/>
        <v>0</v>
      </c>
      <c r="H131" s="209">
        <f t="shared" si="3"/>
        <v>0</v>
      </c>
      <c r="J131" s="298"/>
      <c r="K131" s="65"/>
      <c r="L131" s="65"/>
      <c r="M131" s="65"/>
    </row>
    <row r="132" spans="1:13" s="4" customFormat="1" ht="14.45" x14ac:dyDescent="0.3">
      <c r="A132" s="308"/>
      <c r="B132" s="281"/>
      <c r="C132" s="255" t="str">
        <f>Просчет!A148</f>
        <v>Монтаж обоев Заказчика</v>
      </c>
      <c r="D132" s="255">
        <f>IF(ISNUMBER(SEARCH("Наружная отделка",B132)),Просчет!B148,0)</f>
        <v>0</v>
      </c>
      <c r="E132" s="255" t="str">
        <f>Просчет!C148</f>
        <v>компл.</v>
      </c>
      <c r="F132" s="255">
        <v>0</v>
      </c>
      <c r="G132" s="208">
        <f t="shared" si="2"/>
        <v>0</v>
      </c>
      <c r="H132" s="209">
        <f t="shared" si="3"/>
        <v>0</v>
      </c>
      <c r="J132" s="298"/>
      <c r="K132" s="65"/>
      <c r="L132" s="65"/>
      <c r="M132" s="65"/>
    </row>
    <row r="133" spans="1:13" s="4" customFormat="1" ht="30" x14ac:dyDescent="0.25">
      <c r="A133" s="308"/>
      <c r="B133" s="281" t="str">
        <f>_xlfn.TEXTJOIN(", ",,IF(Просчет!I106='Смета в налоговую'!C133,Просчет!H106,""),IF(Просчет!I107='Смета в налоговую'!C133,Просчет!H107,""),IF(Просчет!I108='Смета в налоговую'!C133,Просчет!H108,""),IF(Просчет!I109='Смета в налоговую'!C133,Просчет!H109,""),IF(Просчет!I110='Смета в налоговую'!C133,Просчет!H110,""),IF(Просчет!I102='Смета в налоговую'!C133,Просчет!H102,""),IF(Просчет!I103='Смета в налоговую'!C133,Просчет!H103,""),IF(Просчет!I104='Смета в налоговую'!C133,Просчет!H104,""),IF(Просчет!I105='Смета в налоговую'!C133,Просчет!H105,""))</f>
        <v/>
      </c>
      <c r="C133" s="270" t="str">
        <f>Просчет!A149</f>
        <v>Натяжной потолок (белый, матовый)</v>
      </c>
      <c r="D133" s="225">
        <f>IF(ISNUMBER(SEARCH("Наружная отделка",B133)),Просчет!B149,0)</f>
        <v>0</v>
      </c>
      <c r="E133" s="225" t="str">
        <f>Просчет!C149</f>
        <v>м2</v>
      </c>
      <c r="F133" s="251"/>
      <c r="G133" s="208">
        <f t="shared" si="2"/>
        <v>0</v>
      </c>
      <c r="H133" s="209">
        <f t="shared" si="3"/>
        <v>0</v>
      </c>
      <c r="J133" s="298"/>
      <c r="K133" s="65"/>
      <c r="L133" s="65"/>
      <c r="M133" s="65"/>
    </row>
    <row r="134" spans="1:13" s="4" customFormat="1" ht="14.45" x14ac:dyDescent="0.3">
      <c r="A134" s="308"/>
      <c r="B134" s="281" t="str">
        <f>_xlfn.TEXTJOIN(", ",,IF(Просчет!I107='Смета в налоговую'!C134,Просчет!H107,""),IF(Просчет!I108='Смета в налоговую'!C134,Просчет!H108,""),IF(Просчет!I109='Смета в налоговую'!C134,Просчет!H109,""),IF(Просчет!I110='Смета в налоговую'!C134,Просчет!H110,""),IF(Просчет!I102='Смета в налоговую'!C134,Просчет!H102,""),IF(Просчет!I103='Смета в налоговую'!C134,Просчет!H103,""),IF(Просчет!I104='Смета в налоговую'!C134,Просчет!H104,""),IF(Просчет!I105='Смета в налоговую'!C134,Просчет!H105,""),IF(Просчет!I106='Смета в налоговую'!C134,Просчет!H106,""))</f>
        <v/>
      </c>
      <c r="C134" s="225" t="str">
        <f>Просчет!A267</f>
        <v>Вагонка осина 90х12,5 - 2м</v>
      </c>
      <c r="D134" s="225">
        <f>IF(ISNUMBER(SEARCH("Наружная отделка",B134)),Просчет!B267,0)</f>
        <v>0</v>
      </c>
      <c r="E134" s="225" t="str">
        <f>Просчет!C267</f>
        <v>м2</v>
      </c>
      <c r="F134" s="225">
        <v>438</v>
      </c>
      <c r="G134" s="208">
        <f t="shared" si="2"/>
        <v>192.72</v>
      </c>
      <c r="H134" s="209">
        <f t="shared" si="3"/>
        <v>0</v>
      </c>
      <c r="J134" s="298"/>
      <c r="K134" s="65"/>
      <c r="L134" s="65"/>
      <c r="M134" s="65"/>
    </row>
    <row r="135" spans="1:13" s="4" customFormat="1" ht="14.45" x14ac:dyDescent="0.3">
      <c r="A135" s="308"/>
      <c r="B135" s="281" t="str">
        <f>_xlfn.TEXTJOIN(", ",,IF(Просчет!I108='Смета в налоговую'!C135,Просчет!H108,""),IF(Просчет!I109='Смета в налоговую'!C135,Просчет!H109,""),IF(Просчет!I110='Смета в налоговую'!C135,Просчет!H110,""),IF(Просчет!I102='Смета в налоговую'!C135,Просчет!H102,""),IF(Просчет!I103='Смета в налоговую'!C135,Просчет!H103,""),IF(Просчет!I104='Смета в налоговую'!C135,Просчет!H104,""),IF(Просчет!I105='Смета в налоговую'!C135,Просчет!H105,""),IF(Просчет!I106='Смета в налоговую'!C135,Просчет!H106,""),IF(Просчет!I107='Смета в налоговую'!C135,Просчет!H107,""))</f>
        <v/>
      </c>
      <c r="C135" s="225" t="str">
        <f>Просчет!A268</f>
        <v>Вагонка липа 90х12,5 - 2м</v>
      </c>
      <c r="D135" s="225">
        <f>IF(ISNUMBER(SEARCH("Наружная отделка",B135)),Просчет!B268,0)</f>
        <v>0</v>
      </c>
      <c r="E135" s="225" t="str">
        <f>Просчет!C268</f>
        <v>м2</v>
      </c>
      <c r="F135" s="225">
        <v>625</v>
      </c>
      <c r="G135" s="208">
        <f t="shared" si="2"/>
        <v>275</v>
      </c>
      <c r="H135" s="209">
        <f t="shared" si="3"/>
        <v>0</v>
      </c>
      <c r="J135" s="298"/>
      <c r="K135" s="65"/>
      <c r="L135" s="65"/>
      <c r="M135" s="65"/>
    </row>
    <row r="136" spans="1:13" x14ac:dyDescent="0.25">
      <c r="A136" s="308"/>
      <c r="B136" s="281" t="str">
        <f>_xlfn.TEXTJOIN(", ",,IF(Просчет!I109='Смета в налоговую'!C136,Просчет!H109,""),IF(Просчет!I110='Смета в налоговую'!C136,Просчет!H110,""),IF(Просчет!I102='Смета в налоговую'!C136,Просчет!H102,""),IF(Просчет!I103='Смета в налоговую'!C136,Просчет!H103,""),IF(Просчет!I104='Смета в налоговую'!C136,Просчет!H104,""),IF(Просчет!I105='Смета в налоговую'!C136,Просчет!H105,""),IF(Просчет!I106='Смета в налоговую'!C136,Просчет!H106,""),IF(Просчет!I107='Смета в налоговую'!C136,Просчет!H107,""),IF(Просчет!I108='Смета в налоговую'!C136,Просчет!H108,""))</f>
        <v/>
      </c>
      <c r="C136" s="270" t="str">
        <f>Просчет!A287</f>
        <v>Петли для двери на чердак</v>
      </c>
      <c r="D136" s="225">
        <f>IF(ISNUMBER(SEARCH("Наружная отделка",B136)),Просчет!B287,0)</f>
        <v>0</v>
      </c>
      <c r="E136" s="208" t="str">
        <f>Просчет!C287</f>
        <v>шт</v>
      </c>
      <c r="F136" s="225">
        <v>250</v>
      </c>
      <c r="G136" s="208">
        <f t="shared" ref="G136:G206" si="4">F136/1.25*0.55</f>
        <v>110.00000000000001</v>
      </c>
      <c r="H136" s="209">
        <f t="shared" ref="H136:H206" si="5">(F136+G136)*D136</f>
        <v>0</v>
      </c>
      <c r="J136" s="298"/>
      <c r="K136" s="65"/>
      <c r="L136" s="65"/>
      <c r="M136" s="65"/>
    </row>
    <row r="137" spans="1:13" ht="15.75" thickBot="1" x14ac:dyDescent="0.3">
      <c r="A137" s="308"/>
      <c r="B137" s="282" t="str">
        <f>_xlfn.TEXTJOIN(", ",,IF(Просчет!I110='Смета в налоговую'!C137,Просчет!H110,""),IF(Просчет!I102='Смета в налоговую'!C137,Просчет!H102,""),IF(Просчет!I103='Смета в налоговую'!C137,Просчет!H103,""),IF(Просчет!I104='Смета в налоговую'!C137,Просчет!H104,""),IF(Просчет!I105='Смета в налоговую'!C137,Просчет!H105,""),IF(Просчет!I106='Смета в налоговую'!C137,Просчет!H106,""),IF(Просчет!I107='Смета в налоговую'!C137,Просчет!H107,""),IF(Просчет!I108='Смета в налоговую'!C137,Просчет!H108,""),IF(Просчет!I109='Смета в налоговую'!C137,Просчет!H109,""))</f>
        <v/>
      </c>
      <c r="C137" s="272" t="str">
        <f>Просчет!A288</f>
        <v>Петли для люка</v>
      </c>
      <c r="D137" s="239">
        <f>IF(ISNUMBER(SEARCH("Наружная отделка",B137)),Просчет!B288,0)</f>
        <v>0</v>
      </c>
      <c r="E137" s="226" t="str">
        <f>Просчет!C288</f>
        <v>шт</v>
      </c>
      <c r="F137" s="239">
        <v>250</v>
      </c>
      <c r="G137" s="226">
        <f t="shared" si="4"/>
        <v>110.00000000000001</v>
      </c>
      <c r="H137" s="235">
        <f t="shared" si="5"/>
        <v>0</v>
      </c>
      <c r="J137" s="298"/>
      <c r="K137" s="65"/>
      <c r="L137" s="65"/>
      <c r="M137" s="65"/>
    </row>
    <row r="138" spans="1:13" s="65" customFormat="1" ht="15.75" thickBot="1" x14ac:dyDescent="0.3">
      <c r="A138" s="353">
        <f>A107+1</f>
        <v>7</v>
      </c>
      <c r="B138" s="615" t="s">
        <v>818</v>
      </c>
      <c r="C138" s="615"/>
      <c r="D138" s="615"/>
      <c r="E138" s="615"/>
      <c r="F138" s="615"/>
      <c r="G138" s="615"/>
      <c r="H138" s="616"/>
      <c r="J138" s="301"/>
    </row>
    <row r="139" spans="1:13" s="4" customFormat="1" x14ac:dyDescent="0.25">
      <c r="A139" s="308"/>
      <c r="B139" s="284" t="str">
        <f>_xlfn.TEXTJOIN(", ",,IF(Просчет!I112='Смета в налоговую'!C139,Просчет!H112,""),IF(Просчет!I113='Смета в налоговую'!C139,Просчет!H113,""),IF(Просчет!I114='Смета в налоговую'!C139,Просчет!H114,""),IF(Просчет!I115='Смета в налоговую'!C139,Просчет!H115,""),IF(Просчет!I116='Смета в налоговую'!C139,Просчет!H116,""),IF(Просчет!I117='Смета в налоговую'!C139,Просчет!H117,""),IF(Просчет!I118='Смета в налоговую'!C139,Просчет!H118,""),IF(Просчет!I119='Смета в налоговую'!C139,Просчет!H119,""),IF(Просчет!I120='Смета в налоговую'!C139,Просчет!H120,""),IF(Просчет!I121='Смета в налоговую'!C139,Просчет!H121,""),IF(Просчет!I122='Смета в налоговую'!C139,Просчет!H122,""),IF(Просчет!I123='Смета в налоговую'!C139,Просчет!H123,""),IF(Просчет!I124='Смета в налоговую'!C139,Просчет!H124,""),IF(Просчет!I125='Смета в налоговую'!C139,Просчет!H125,""),IF(Просчет!I126='Смета в налоговую'!C139,Просчет!H126,""),IF(Просчет!I127='Смета в налоговую'!C139,Просчет!H127,""),IF(Просчет!I128='Смета в налоговую'!C139,Просчет!H128,""),IF(Просчет!I129='Смета в налоговую'!C139,Просчет!H129,""),IF(Просчет!I130='Смета в налоговую'!C139,Просчет!H130,""),IF(Просчет!I131='Смета в налоговую'!C139,Просчет!H131,""),IF(Просчет!I132='Смета в налоговую'!C139,Просчет!H132,""),IF(Просчет!I133='Смета в налоговую'!C139,Просчет!H133,""),IF(Просчет!I134='Смета в налоговую'!C139,Просчет!H134,""))</f>
        <v/>
      </c>
      <c r="C139" s="238" t="s">
        <v>877</v>
      </c>
      <c r="D139" s="285">
        <f>Просчет!B135</f>
        <v>0</v>
      </c>
      <c r="E139" s="285" t="str">
        <f>Просчет!C135</f>
        <v>м2</v>
      </c>
      <c r="F139" s="240">
        <v>275</v>
      </c>
      <c r="G139" s="240">
        <f t="shared" si="4"/>
        <v>121.00000000000001</v>
      </c>
      <c r="H139" s="241">
        <f t="shared" si="5"/>
        <v>0</v>
      </c>
      <c r="J139" s="183" t="s">
        <v>861</v>
      </c>
      <c r="K139" s="65"/>
      <c r="L139" s="65"/>
      <c r="M139" s="65"/>
    </row>
    <row r="140" spans="1:13" s="4" customFormat="1" x14ac:dyDescent="0.25">
      <c r="A140" s="308"/>
      <c r="B140" s="281" t="str">
        <f>_xlfn.TEXTJOIN(", ",,IF(Просчет!I113='Смета в налоговую'!C140,Просчет!H113,""),IF(Просчет!I114='Смета в налоговую'!C140,Просчет!H114,""),IF(Просчет!I115='Смета в налоговую'!C140,Просчет!H115,""),IF(Просчет!I116='Смета в налоговую'!C140,Просчет!H116,""),IF(Просчет!I117='Смета в налоговую'!C140,Просчет!H117,""),IF(Просчет!I118='Смета в налоговую'!C140,Просчет!H118,""),IF(Просчет!I119='Смета в налоговую'!C140,Просчет!H119,""),IF(Просчет!I120='Смета в налоговую'!C140,Просчет!H120,""),IF(Просчет!I121='Смета в налоговую'!C140,Просчет!H121,""),IF(Просчет!I122='Смета в налоговую'!C140,Просчет!H122,""),IF(Просчет!I123='Смета в налоговую'!C140,Просчет!H123,""),IF(Просчет!I124='Смета в налоговую'!C140,Просчет!H124,""),IF(Просчет!I125='Смета в налоговую'!C140,Просчет!H125,""),IF(Просчет!I126='Смета в налоговую'!C140,Просчет!H126,""),IF(Просчет!I127='Смета в налоговую'!C140,Просчет!H127,""),IF(Просчет!I128='Смета в налоговую'!C140,Просчет!H128,""),IF(Просчет!I129='Смета в налоговую'!C140,Просчет!H129,""),IF(Просчет!I130='Смета в налоговую'!C140,Просчет!H130,""),IF(Просчет!I131='Смета в налоговую'!C140,Просчет!H131,""),IF(Просчет!I132='Смета в налоговую'!C140,Просчет!H132,""),IF(Просчет!I133='Смета в налоговую'!C140,Просчет!H133,""),IF(Просчет!I134='Смета в налоговую'!C140,Просчет!H134,""),IF(Просчет!I112='Смета в налоговую'!C140,Просчет!H112,""))</f>
        <v/>
      </c>
      <c r="C140" s="270" t="s">
        <v>876</v>
      </c>
      <c r="D140" s="225">
        <f>Просчет!B139</f>
        <v>0</v>
      </c>
      <c r="E140" s="225" t="str">
        <f>Просчет!C139</f>
        <v>м2</v>
      </c>
      <c r="F140" s="208">
        <v>450</v>
      </c>
      <c r="G140" s="208">
        <f t="shared" si="4"/>
        <v>198.00000000000003</v>
      </c>
      <c r="H140" s="209">
        <f t="shared" si="5"/>
        <v>0</v>
      </c>
      <c r="J140" s="183" t="s">
        <v>861</v>
      </c>
      <c r="K140" s="65"/>
      <c r="L140" s="65"/>
      <c r="M140" s="65"/>
    </row>
    <row r="141" spans="1:13" s="4" customFormat="1" x14ac:dyDescent="0.25">
      <c r="A141" s="308"/>
      <c r="B141" s="281" t="str">
        <f>_xlfn.TEXTJOIN(", ",,IF(Просчет!I114='Смета в налоговую'!C141,Просчет!H114,""),IF(Просчет!I115='Смета в налоговую'!C141,Просчет!H115,""),IF(Просчет!I116='Смета в налоговую'!C141,Просчет!H116,""),IF(Просчет!I117='Смета в налоговую'!C141,Просчет!H117,""),IF(Просчет!I118='Смета в налоговую'!C141,Просчет!H118,""),IF(Просчет!I119='Смета в налоговую'!C141,Просчет!H119,""),IF(Просчет!I120='Смета в налоговую'!C141,Просчет!H120,""),IF(Просчет!I121='Смета в налоговую'!C141,Просчет!H121,""),IF(Просчет!I122='Смета в налоговую'!C141,Просчет!H122,""),IF(Просчет!I123='Смета в налоговую'!C141,Просчет!H123,""),IF(Просчет!I124='Смета в налоговую'!C141,Просчет!H124,""),IF(Просчет!I125='Смета в налоговую'!C141,Просчет!H125,""),IF(Просчет!I126='Смета в налоговую'!C141,Просчет!H126,""),IF(Просчет!I127='Смета в налоговую'!C141,Просчет!H127,""),IF(Просчет!I128='Смета в налоговую'!C141,Просчет!H128,""),IF(Просчет!I129='Смета в налоговую'!C141,Просчет!H129,""),IF(Просчет!I130='Смета в налоговую'!C141,Просчет!H130,""),IF(Просчет!I131='Смета в налоговую'!C141,Просчет!H131,""),IF(Просчет!I132='Смета в налоговую'!C141,Просчет!H132,""),IF(Просчет!I133='Смета в налоговую'!C141,Просчет!H133,""),IF(Просчет!I134='Смета в налоговую'!C141,Просчет!H134,""),IF(Просчет!I112='Смета в налоговую'!C141,Просчет!H112,""),IF(Просчет!I113='Смета в налоговую'!C141,Просчет!H113,""))</f>
        <v/>
      </c>
      <c r="C141" s="270" t="s">
        <v>875</v>
      </c>
      <c r="D141" s="225">
        <f>Просчет!B142</f>
        <v>0</v>
      </c>
      <c r="E141" s="225" t="str">
        <f>Просчет!C142</f>
        <v>м2</v>
      </c>
      <c r="F141" s="208">
        <v>450</v>
      </c>
      <c r="G141" s="208">
        <f t="shared" si="4"/>
        <v>198.00000000000003</v>
      </c>
      <c r="H141" s="209">
        <f t="shared" si="5"/>
        <v>0</v>
      </c>
      <c r="J141" s="183" t="s">
        <v>861</v>
      </c>
      <c r="K141" s="65"/>
      <c r="L141" s="65"/>
      <c r="M141" s="65"/>
    </row>
    <row r="142" spans="1:13" s="4" customFormat="1" ht="30" x14ac:dyDescent="0.25">
      <c r="A142" s="308"/>
      <c r="B142" s="281" t="str">
        <f>_xlfn.TEXTJOIN(", ",,IF(Просчет!I115='Смета в налоговую'!C142,Просчет!H115,""),IF(Просчет!I116='Смета в налоговую'!C142,Просчет!H116,""),IF(Просчет!I117='Смета в налоговую'!C142,Просчет!H117,""),IF(Просчет!I118='Смета в налоговую'!C142,Просчет!H118,""),IF(Просчет!I119='Смета в налоговую'!C142,Просчет!H119,""),IF(Просчет!I120='Смета в налоговую'!C142,Просчет!H120,""),IF(Просчет!I121='Смета в налоговую'!C142,Просчет!H121,""),IF(Просчет!I122='Смета в налоговую'!C142,Просчет!H122,""),IF(Просчет!I123='Смета в налоговую'!C142,Просчет!H123,""),IF(Просчет!I124='Смета в налоговую'!C142,Просчет!H124,""),IF(Просчет!I125='Смета в налоговую'!C142,Просчет!H125,""),IF(Просчет!I126='Смета в налоговую'!C142,Просчет!H126,""),IF(Просчет!I127='Смета в налоговую'!C142,Просчет!H127,""),IF(Просчет!I128='Смета в налоговую'!C142,Просчет!H128,""),IF(Просчет!I129='Смета в налоговую'!C142,Просчет!H129,""),IF(Просчет!I130='Смета в налоговую'!C142,Просчет!H130,""),IF(Просчет!I131='Смета в налоговую'!C142,Просчет!H131,""),IF(Просчет!I132='Смета в налоговую'!C142,Просчет!H132,""),IF(Просчет!I133='Смета в налоговую'!C142,Просчет!H133,""),IF(Просчет!I134='Смета в налоговую'!C142,Просчет!H134,""),IF(Просчет!I112='Смета в налоговую'!C142,Просчет!H112,""),IF(Просчет!I113='Смета в налоговую'!C142,Просчет!H113,""),IF(Просчет!I114='Смета в налоговую'!C142,Просчет!H114,""))</f>
        <v/>
      </c>
      <c r="C142" s="208" t="str">
        <f>Просчет!A118</f>
        <v>Террасная доска 112х24 - 6м, Сорт АВ</v>
      </c>
      <c r="D142" s="225">
        <f>IF(D110=0,Просчет!B118,0)</f>
        <v>0</v>
      </c>
      <c r="E142" s="225" t="str">
        <f>Просчет!C118</f>
        <v>м2</v>
      </c>
      <c r="F142" s="225">
        <v>525</v>
      </c>
      <c r="G142" s="208">
        <f t="shared" si="4"/>
        <v>231.00000000000003</v>
      </c>
      <c r="H142" s="209">
        <f t="shared" si="5"/>
        <v>0</v>
      </c>
      <c r="J142" s="183"/>
      <c r="K142" s="65"/>
      <c r="L142" s="65"/>
      <c r="M142" s="65"/>
    </row>
    <row r="143" spans="1:13" s="4" customFormat="1" x14ac:dyDescent="0.25">
      <c r="A143" s="308"/>
      <c r="B143" s="281" t="str">
        <f>_xlfn.TEXTJOIN(", ",,IF(Просчет!I116='Смета в налоговую'!C143,Просчет!H116,""),IF(Просчет!I117='Смета в налоговую'!C143,Просчет!H117,""),IF(Просчет!I118='Смета в налоговую'!C143,Просчет!H118,""),IF(Просчет!I119='Смета в налоговую'!C143,Просчет!H119,""),IF(Просчет!I120='Смета в налоговую'!C143,Просчет!H120,""),IF(Просчет!I121='Смета в налоговую'!C143,Просчет!H121,""),IF(Просчет!I122='Смета в налоговую'!C143,Просчет!H122,""),IF(Просчет!I123='Смета в налоговую'!C143,Просчет!H123,""),IF(Просчет!I124='Смета в налоговую'!C143,Просчет!H124,""),IF(Просчет!I125='Смета в налоговую'!C143,Просчет!H125,""),IF(Просчет!I126='Смета в налоговую'!C143,Просчет!H126,""),IF(Просчет!I127='Смета в налоговую'!C143,Просчет!H127,""),IF(Просчет!I128='Смета в налоговую'!C143,Просчет!H128,""),IF(Просчет!I129='Смета в налоговую'!C143,Просчет!H129,""),IF(Просчет!I130='Смета в налоговую'!C143,Просчет!H130,""),IF(Просчет!I131='Смета в налоговую'!C143,Просчет!H131,""),IF(Просчет!I132='Смета в налоговую'!C143,Просчет!H132,""),IF(Просчет!I133='Смета в налоговую'!C143,Просчет!H133,""),IF(Просчет!I134='Смета в налоговую'!C143,Просчет!H134,""),IF(Просчет!I112='Смета в налоговую'!C143,Просчет!H112,""),IF(Просчет!I113='Смета в налоговую'!C143,Просчет!H113,""),IF(Просчет!I114='Смета в налоговую'!C143,Просчет!H114,""),IF(Просчет!I115='Смета в налоговую'!C143,Просчет!H115,""))</f>
        <v/>
      </c>
      <c r="C143" s="208" t="str">
        <f>Просчет!A119</f>
        <v>Калибровка 140х35- 6м</v>
      </c>
      <c r="D143" s="225">
        <f>IF(D111=0,Просчет!B119,0)</f>
        <v>0</v>
      </c>
      <c r="E143" s="225" t="str">
        <f>Просчет!C119</f>
        <v>шт</v>
      </c>
      <c r="F143" s="225">
        <v>625</v>
      </c>
      <c r="G143" s="208">
        <f t="shared" si="4"/>
        <v>275</v>
      </c>
      <c r="H143" s="209">
        <f t="shared" si="5"/>
        <v>0</v>
      </c>
      <c r="J143" s="298"/>
      <c r="K143" s="65"/>
      <c r="L143" s="65"/>
      <c r="M143" s="65"/>
    </row>
    <row r="144" spans="1:13" s="4" customFormat="1" x14ac:dyDescent="0.25">
      <c r="A144" s="308"/>
      <c r="B144" s="281" t="str">
        <f>_xlfn.TEXTJOIN(", ",,IF(Просчет!I117='Смета в налоговую'!C144,Просчет!H117,""),IF(Просчет!I118='Смета в налоговую'!C144,Просчет!H118,""),IF(Просчет!I119='Смета в налоговую'!C144,Просчет!H119,""),IF(Просчет!I120='Смета в налоговую'!C144,Просчет!H120,""),IF(Просчет!I121='Смета в налоговую'!C144,Просчет!H121,""),IF(Просчет!I122='Смета в налоговую'!C144,Просчет!H122,""),IF(Просчет!I123='Смета в налоговую'!C144,Просчет!H123,""),IF(Просчет!I124='Смета в налоговую'!C144,Просчет!H124,""),IF(Просчет!I125='Смета в налоговую'!C144,Просчет!H125,""),IF(Просчет!I126='Смета в налоговую'!C144,Просчет!H126,""),IF(Просчет!I127='Смета в налоговую'!C144,Просчет!H127,""),IF(Просчет!I128='Смета в налоговую'!C144,Просчет!H128,""),IF(Просчет!I129='Смета в налоговую'!C144,Просчет!H129,""),IF(Просчет!I130='Смета в налоговую'!C144,Просчет!H130,""),IF(Просчет!I131='Смета в налоговую'!C144,Просчет!H131,""),IF(Просчет!I132='Смета в налоговую'!C144,Просчет!H132,""),IF(Просчет!I133='Смета в налоговую'!C144,Просчет!H133,""),IF(Просчет!I134='Смета в налоговую'!C144,Просчет!H134,""),IF(Просчет!I112='Смета в налоговую'!C144,Просчет!H112,""),IF(Просчет!I113='Смета в налоговую'!C144,Просчет!H113,""),IF(Просчет!I114='Смета в налоговую'!C144,Просчет!H114,""),IF(Просчет!I115='Смета в налоговую'!C144,Просчет!H115,""),IF(Просчет!I116='Смета в налоговую'!C144,Просчет!H116,""))</f>
        <v/>
      </c>
      <c r="C144" s="208" t="str">
        <f>Просчет!A120</f>
        <v>Шпунтовка 90х26 - 6м, Сорт АВ</v>
      </c>
      <c r="D144" s="225">
        <f>IF(D112=0,Просчет!B120,0)</f>
        <v>0</v>
      </c>
      <c r="E144" s="225" t="str">
        <f>Просчет!C120</f>
        <v>м2</v>
      </c>
      <c r="F144" s="225">
        <v>525</v>
      </c>
      <c r="G144" s="208">
        <f t="shared" si="4"/>
        <v>231.00000000000003</v>
      </c>
      <c r="H144" s="209">
        <f t="shared" si="5"/>
        <v>0</v>
      </c>
      <c r="J144" s="298"/>
      <c r="K144" s="65"/>
      <c r="L144" s="65"/>
      <c r="M144" s="65"/>
    </row>
    <row r="145" spans="1:10" s="4" customFormat="1" x14ac:dyDescent="0.25">
      <c r="A145" s="308"/>
      <c r="B145" s="281" t="str">
        <f>_xlfn.TEXTJOIN(", ",,IF(Просчет!I118='Смета в налоговую'!C145,Просчет!H118,""),IF(Просчет!I119='Смета в налоговую'!C145,Просчет!H119,""),IF(Просчет!I120='Смета в налоговую'!C145,Просчет!H120,""),IF(Просчет!I121='Смета в налоговую'!C145,Просчет!H121,""),IF(Просчет!I122='Смета в налоговую'!C145,Просчет!H122,""),IF(Просчет!I123='Смета в налоговую'!C145,Просчет!H123,""),IF(Просчет!I124='Смета в налоговую'!C145,Просчет!H124,""),IF(Просчет!I125='Смета в налоговую'!C145,Просчет!H125,""),IF(Просчет!I126='Смета в налоговую'!C145,Просчет!H126,""),IF(Просчет!I127='Смета в налоговую'!C145,Просчет!H127,""),IF(Просчет!I128='Смета в налоговую'!C145,Просчет!H128,""),IF(Просчет!I129='Смета в налоговую'!C145,Просчет!H129,""),IF(Просчет!I130='Смета в налоговую'!C145,Просчет!H130,""),IF(Просчет!I131='Смета в налоговую'!C145,Просчет!H131,""),IF(Просчет!I132='Смета в налоговую'!C145,Просчет!H132,""),IF(Просчет!I133='Смета в налоговую'!C145,Просчет!H133,""),IF(Просчет!I134='Смета в налоговую'!C145,Просчет!H134,""),IF(Просчет!I112='Смета в налоговую'!C145,Просчет!H112,""),IF(Просчет!I113='Смета в налоговую'!C145,Просчет!H113,""),IF(Просчет!I114='Смета в налоговую'!C145,Просчет!H114,""),IF(Просчет!I115='Смета в налоговую'!C145,Просчет!H115,""),IF(Просчет!I116='Смета в налоговую'!C145,Просчет!H116,""),IF(Просчет!I117='Смета в налоговую'!C145,Просчет!H117,""))</f>
        <v/>
      </c>
      <c r="C145" s="208" t="str">
        <f>Просчет!A121</f>
        <v>Шпунтовка 135х35 - 6м, Сорт АВ</v>
      </c>
      <c r="D145" s="225">
        <f>IF(D113=0,Просчет!B121,0)</f>
        <v>0</v>
      </c>
      <c r="E145" s="225" t="str">
        <f>Просчет!C121</f>
        <v>м2</v>
      </c>
      <c r="F145" s="225">
        <v>700</v>
      </c>
      <c r="G145" s="208">
        <f t="shared" si="4"/>
        <v>308</v>
      </c>
      <c r="H145" s="209">
        <f t="shared" si="5"/>
        <v>0</v>
      </c>
      <c r="J145" s="297"/>
    </row>
    <row r="146" spans="1:10" s="4" customFormat="1" x14ac:dyDescent="0.25">
      <c r="A146" s="308"/>
      <c r="B146" s="281" t="str">
        <f>_xlfn.TEXTJOIN(", ",,IF(Просчет!I119='Смета в налоговую'!C146,Просчет!H119,""),IF(Просчет!I120='Смета в налоговую'!C146,Просчет!H120,""),IF(Просчет!I121='Смета в налоговую'!C146,Просчет!H121,""),IF(Просчет!I122='Смета в налоговую'!C146,Просчет!H122,""),IF(Просчет!I123='Смета в налоговую'!C146,Просчет!H123,""),IF(Просчет!I124='Смета в налоговую'!C146,Просчет!H124,""),IF(Просчет!I125='Смета в налоговую'!C146,Просчет!H125,""),IF(Просчет!I126='Смета в налоговую'!C146,Просчет!H126,""),IF(Просчет!I127='Смета в налоговую'!C146,Просчет!H127,""),IF(Просчет!I128='Смета в налоговую'!C146,Просчет!H128,""),IF(Просчет!I129='Смета в налоговую'!C146,Просчет!H129,""),IF(Просчет!I130='Смета в налоговую'!C146,Просчет!H130,""),IF(Просчет!I131='Смета в налоговую'!C146,Просчет!H131,""),IF(Просчет!I132='Смета в налоговую'!C146,Просчет!H132,""),IF(Просчет!I133='Смета в налоговую'!C146,Просчет!H133,""),IF(Просчет!I134='Смета в налоговую'!C146,Просчет!H134,""),IF(Просчет!I112='Смета в налоговую'!C146,Просчет!H112,""),IF(Просчет!I113='Смета в налоговую'!C146,Просчет!H113,""),IF(Просчет!I114='Смета в налоговую'!C146,Просчет!H114,""),IF(Просчет!I115='Смета в налоговую'!C146,Просчет!H115,""),IF(Просчет!I116='Смета в налоговую'!C146,Просчет!H116,""),IF(Просчет!I117='Смета в налоговую'!C146,Просчет!H117,""),IF(Просчет!I118='Смета в налоговую'!C146,Просчет!H118,""))</f>
        <v/>
      </c>
      <c r="C146" s="270" t="str">
        <f>Просчет!A122</f>
        <v>ОСБ-3 9мм</v>
      </c>
      <c r="D146" s="225">
        <f>IF(D114=0,Просчет!B122,0)</f>
        <v>0</v>
      </c>
      <c r="E146" s="208" t="str">
        <f>Просчет!C122</f>
        <v>шт</v>
      </c>
      <c r="F146" s="225">
        <v>813</v>
      </c>
      <c r="G146" s="208">
        <f t="shared" si="4"/>
        <v>357.72</v>
      </c>
      <c r="H146" s="209">
        <f t="shared" si="5"/>
        <v>0</v>
      </c>
      <c r="J146" s="297"/>
    </row>
    <row r="147" spans="1:10" s="4" customFormat="1" x14ac:dyDescent="0.25">
      <c r="A147" s="308"/>
      <c r="B147" s="281" t="str">
        <f>_xlfn.TEXTJOIN(", ",,IF(Просчет!I120='Смета в налоговую'!C147,Просчет!H120,""),IF(Просчет!I121='Смета в налоговую'!C147,Просчет!H121,""),IF(Просчет!I122='Смета в налоговую'!C147,Просчет!H122,""),IF(Просчет!I123='Смета в налоговую'!C147,Просчет!H123,""),IF(Просчет!I124='Смета в налоговую'!C147,Просчет!H124,""),IF(Просчет!I125='Смета в налоговую'!C147,Просчет!H125,""),IF(Просчет!I126='Смета в налоговую'!C147,Просчет!H126,""),IF(Просчет!I127='Смета в налоговую'!C147,Просчет!H127,""),IF(Просчет!I128='Смета в налоговую'!C147,Просчет!H128,""),IF(Просчет!I129='Смета в налоговую'!C147,Просчет!H129,""),IF(Просчет!I130='Смета в налоговую'!C147,Просчет!H130,""),IF(Просчет!I131='Смета в налоговую'!C147,Просчет!H131,""),IF(Просчет!I132='Смета в налоговую'!C147,Просчет!H132,""),IF(Просчет!I133='Смета в налоговую'!C147,Просчет!H133,""),IF(Просчет!I134='Смета в налоговую'!C147,Просчет!H134,""),IF(Просчет!I112='Смета в налоговую'!C147,Просчет!H112,""),IF(Просчет!I113='Смета в налоговую'!C147,Просчет!H113,""),IF(Просчет!I114='Смета в налоговую'!C147,Просчет!H114,""),IF(Просчет!I115='Смета в налоговую'!C147,Просчет!H115,""),IF(Просчет!I116='Смета в налоговую'!C147,Просчет!H116,""),IF(Просчет!I117='Смета в налоговую'!C147,Просчет!H117,""),IF(Просчет!I118='Смета в налоговую'!C147,Просчет!H118,""),IF(Просчет!I119='Смета в налоговую'!C147,Просчет!H119,""))</f>
        <v/>
      </c>
      <c r="C147" s="270" t="str">
        <f>Просчет!A123</f>
        <v>ОСБ-3 12мм</v>
      </c>
      <c r="D147" s="225">
        <f>IF(D115=0,Просчет!B123,0)</f>
        <v>0</v>
      </c>
      <c r="E147" s="208" t="str">
        <f>Просчет!C123</f>
        <v>шт</v>
      </c>
      <c r="F147" s="225">
        <v>1063</v>
      </c>
      <c r="G147" s="208">
        <f t="shared" si="4"/>
        <v>467.72</v>
      </c>
      <c r="H147" s="209">
        <f t="shared" si="5"/>
        <v>0</v>
      </c>
      <c r="J147" s="297"/>
    </row>
    <row r="148" spans="1:10" s="4" customFormat="1" x14ac:dyDescent="0.25">
      <c r="A148" s="308"/>
      <c r="B148" s="281" t="str">
        <f>_xlfn.TEXTJOIN(", ",,IF(Просчет!I121='Смета в налоговую'!C148,Просчет!H121,""),IF(Просчет!I122='Смета в налоговую'!C148,Просчет!H122,""),IF(Просчет!I123='Смета в налоговую'!C148,Просчет!H123,""),IF(Просчет!I124='Смета в налоговую'!C148,Просчет!H124,""),IF(Просчет!I125='Смета в налоговую'!C148,Просчет!H125,""),IF(Просчет!I126='Смета в налоговую'!C148,Просчет!H126,""),IF(Просчет!I127='Смета в налоговую'!C148,Просчет!H127,""),IF(Просчет!I128='Смета в налоговую'!C148,Просчет!H128,""),IF(Просчет!I129='Смета в налоговую'!C148,Просчет!H129,""),IF(Просчет!I130='Смета в налоговую'!C148,Просчет!H130,""),IF(Просчет!I131='Смета в налоговую'!C148,Просчет!H131,""),IF(Просчет!I132='Смета в налоговую'!C148,Просчет!H132,""),IF(Просчет!I133='Смета в налоговую'!C148,Просчет!H133,""),IF(Просчет!I134='Смета в налоговую'!C148,Просчет!H134,""),IF(Просчет!I112='Смета в налоговую'!C148,Просчет!H112,""),IF(Просчет!I113='Смета в налоговую'!C148,Просчет!H113,""),IF(Просчет!I114='Смета в налоговую'!C148,Просчет!H114,""),IF(Просчет!I115='Смета в налоговую'!C148,Просчет!H115,""),IF(Просчет!I116='Смета в налоговую'!C148,Просчет!H116,""),IF(Просчет!I117='Смета в налоговую'!C148,Просчет!H117,""),IF(Просчет!I118='Смета в налоговую'!C148,Просчет!H118,""),IF(Просчет!I119='Смета в налоговую'!C148,Просчет!H119,""),IF(Просчет!I120='Смета в налоговую'!C148,Просчет!H120,""))</f>
        <v/>
      </c>
      <c r="C148" s="270" t="str">
        <f>Просчет!A124</f>
        <v>Фанера 12</v>
      </c>
      <c r="D148" s="225">
        <f>IF(D116=0,Просчет!B124,0)</f>
        <v>0</v>
      </c>
      <c r="E148" s="208" t="str">
        <f>Просчет!C124</f>
        <v>шт</v>
      </c>
      <c r="F148" s="225">
        <v>1088</v>
      </c>
      <c r="G148" s="208">
        <f t="shared" si="4"/>
        <v>478.72</v>
      </c>
      <c r="H148" s="209">
        <f t="shared" si="5"/>
        <v>0</v>
      </c>
      <c r="J148" s="297"/>
    </row>
    <row r="149" spans="1:10" s="4" customFormat="1" x14ac:dyDescent="0.25">
      <c r="A149" s="308"/>
      <c r="B149" s="281" t="str">
        <f>_xlfn.TEXTJOIN(", ",,IF(Просчет!I122='Смета в налоговую'!C149,Просчет!H122,""),IF(Просчет!I123='Смета в налоговую'!C149,Просчет!H123,""),IF(Просчет!I124='Смета в налоговую'!C149,Просчет!H124,""),IF(Просчет!I125='Смета в налоговую'!C149,Просчет!H125,""),IF(Просчет!I126='Смета в налоговую'!C149,Просчет!H126,""),IF(Просчет!I127='Смета в налоговую'!C149,Просчет!H127,""),IF(Просчет!I128='Смета в налоговую'!C149,Просчет!H128,""),IF(Просчет!I129='Смета в налоговую'!C149,Просчет!H129,""),IF(Просчет!I130='Смета в налоговую'!C149,Просчет!H130,""),IF(Просчет!I131='Смета в налоговую'!C149,Просчет!H131,""),IF(Просчет!I132='Смета в налоговую'!C149,Просчет!H132,""),IF(Просчет!I133='Смета в налоговую'!C149,Просчет!H133,""),IF(Просчет!I134='Смета в налоговую'!C149,Просчет!H134,""),IF(Просчет!I112='Смета в налоговую'!C149,Просчет!H112,""),IF(Просчет!I113='Смета в налоговую'!C149,Просчет!H113,""),IF(Просчет!I114='Смета в налоговую'!C149,Просчет!H114,""),IF(Просчет!I115='Смета в налоговую'!C149,Просчет!H115,""),IF(Просчет!I116='Смета в налоговую'!C149,Просчет!H116,""),IF(Просчет!I117='Смета в налоговую'!C149,Просчет!H117,""),IF(Просчет!I118='Смета в налоговую'!C149,Просчет!H118,""),IF(Просчет!I119='Смета в налоговую'!C149,Просчет!H119,""),IF(Просчет!I120='Смета в налоговую'!C149,Просчет!H120,""),IF(Просчет!I121='Смета в налоговую'!C149,Просчет!H121,""))</f>
        <v/>
      </c>
      <c r="C149" s="270" t="str">
        <f>Просчет!A125</f>
        <v>ЦСП 10</v>
      </c>
      <c r="D149" s="225">
        <f>IF(D117=0,Просчет!B125,0)</f>
        <v>0</v>
      </c>
      <c r="E149" s="208" t="str">
        <f>Просчет!C125</f>
        <v>шт</v>
      </c>
      <c r="F149" s="225">
        <v>1150</v>
      </c>
      <c r="G149" s="208">
        <f t="shared" si="4"/>
        <v>506.00000000000006</v>
      </c>
      <c r="H149" s="209">
        <f t="shared" si="5"/>
        <v>0</v>
      </c>
      <c r="J149" s="297"/>
    </row>
    <row r="150" spans="1:10" s="4" customFormat="1" x14ac:dyDescent="0.25">
      <c r="A150" s="308"/>
      <c r="B150" s="281" t="str">
        <f>_xlfn.TEXTJOIN(", ",,IF(Просчет!I123='Смета в налоговую'!C150,Просчет!H123,""),IF(Просчет!I124='Смета в налоговую'!C150,Просчет!H124,""),IF(Просчет!I125='Смета в налоговую'!C150,Просчет!H125,""),IF(Просчет!I126='Смета в налоговую'!C150,Просчет!H126,""),IF(Просчет!I127='Смета в налоговую'!C150,Просчет!H127,""),IF(Просчет!I128='Смета в налоговую'!C150,Просчет!H128,""),IF(Просчет!I129='Смета в налоговую'!C150,Просчет!H129,""),IF(Просчет!I130='Смета в налоговую'!C150,Просчет!H130,""),IF(Просчет!I131='Смета в налоговую'!C150,Просчет!H131,""),IF(Просчет!I132='Смета в налоговую'!C150,Просчет!H132,""),IF(Просчет!I133='Смета в налоговую'!C150,Просчет!H133,""),IF(Просчет!I134='Смета в налоговую'!C150,Просчет!H134,""),IF(Просчет!I112='Смета в налоговую'!C150,Просчет!H112,""),IF(Просчет!I113='Смета в налоговую'!C150,Просчет!H113,""),IF(Просчет!I114='Смета в налоговую'!C150,Просчет!H114,""),IF(Просчет!I115='Смета в налоговую'!C150,Просчет!H115,""),IF(Просчет!I116='Смета в налоговую'!C150,Просчет!H116,""),IF(Просчет!I117='Смета в налоговую'!C150,Просчет!H117,""),IF(Просчет!I118='Смета в налоговую'!C150,Просчет!H118,""),IF(Просчет!I119='Смета в налоговую'!C150,Просчет!H119,""),IF(Просчет!I120='Смета в налоговую'!C150,Просчет!H120,""),IF(Просчет!I121='Смета в налоговую'!C150,Просчет!H121,""),IF(Просчет!I122='Смета в налоговую'!C150,Просчет!H122,""))</f>
        <v/>
      </c>
      <c r="C150" s="270" t="str">
        <f>Просчет!A126</f>
        <v>ЦСП 12</v>
      </c>
      <c r="D150" s="225">
        <f>IF(D118=0,Просчет!B126,0)</f>
        <v>0</v>
      </c>
      <c r="E150" s="208" t="str">
        <f>Просчет!C126</f>
        <v>шт</v>
      </c>
      <c r="F150" s="225">
        <v>1438</v>
      </c>
      <c r="G150" s="208">
        <f t="shared" si="4"/>
        <v>632.72000000000014</v>
      </c>
      <c r="H150" s="209">
        <f t="shared" si="5"/>
        <v>0</v>
      </c>
      <c r="J150" s="297"/>
    </row>
    <row r="151" spans="1:10" s="4" customFormat="1" x14ac:dyDescent="0.25">
      <c r="A151" s="308"/>
      <c r="B151" s="281" t="str">
        <f>_xlfn.TEXTJOIN(", ",,IF(Просчет!I124='Смета в налоговую'!C151,Просчет!H124,""),IF(Просчет!I125='Смета в налоговую'!C151,Просчет!H125,""),IF(Просчет!I126='Смета в налоговую'!C151,Просчет!H126,""),IF(Просчет!I127='Смета в налоговую'!C151,Просчет!H127,""),IF(Просчет!I128='Смета в налоговую'!C151,Просчет!H128,""),IF(Просчет!I129='Смета в налоговую'!C151,Просчет!H129,""),IF(Просчет!I130='Смета в налоговую'!C151,Просчет!H130,""),IF(Просчет!I131='Смета в налоговую'!C151,Просчет!H131,""),IF(Просчет!I132='Смета в налоговую'!C151,Просчет!H132,""),IF(Просчет!I133='Смета в налоговую'!C151,Просчет!H133,""),IF(Просчет!I134='Смета в налоговую'!C151,Просчет!H134,""),IF(Просчет!I112='Смета в налоговую'!C151,Просчет!H112,""),IF(Просчет!I113='Смета в налоговую'!C151,Просчет!H113,""),IF(Просчет!I114='Смета в налоговую'!C151,Просчет!H114,""),IF(Просчет!I115='Смета в налоговую'!C151,Просчет!H115,""),IF(Просчет!I116='Смета в налоговую'!C151,Просчет!H116,""),IF(Просчет!I117='Смета в налоговую'!C151,Просчет!H117,""),IF(Просчет!I118='Смета в налоговую'!C151,Просчет!H118,""),IF(Просчет!I119='Смета в налоговую'!C151,Просчет!H119,""),IF(Просчет!I120='Смета в налоговую'!C151,Просчет!H120,""),IF(Просчет!I121='Смета в налоговую'!C151,Просчет!H121,""),IF(Просчет!I122='Смета в налоговую'!C151,Просчет!H122,""),IF(Просчет!I123='Смета в налоговую'!C151,Просчет!H123,""))</f>
        <v/>
      </c>
      <c r="C151" s="270" t="str">
        <f>Просчет!A127</f>
        <v>Гипрок Стронг 15мм</v>
      </c>
      <c r="D151" s="225">
        <f>IF(D119=0,Просчет!B127,0)</f>
        <v>25</v>
      </c>
      <c r="E151" s="208" t="str">
        <f>Просчет!C127</f>
        <v>шт</v>
      </c>
      <c r="F151" s="225">
        <v>450</v>
      </c>
      <c r="G151" s="208">
        <f t="shared" si="4"/>
        <v>198.00000000000003</v>
      </c>
      <c r="H151" s="209">
        <f t="shared" si="5"/>
        <v>16200</v>
      </c>
      <c r="J151" s="297"/>
    </row>
    <row r="152" spans="1:10" s="4" customFormat="1" x14ac:dyDescent="0.25">
      <c r="A152" s="308"/>
      <c r="B152" s="281" t="str">
        <f>_xlfn.TEXTJOIN(", ",,IF(Просчет!I125='Смета в налоговую'!C152,Просчет!H125,""),IF(Просчет!I126='Смета в налоговую'!C152,Просчет!H126,""),IF(Просчет!I127='Смета в налоговую'!C152,Просчет!H127,""),IF(Просчет!I128='Смета в налоговую'!C152,Просчет!H128,""),IF(Просчет!I129='Смета в налоговую'!C152,Просчет!H129,""),IF(Просчет!I130='Смета в налоговую'!C152,Просчет!H130,""),IF(Просчет!I131='Смета в налоговую'!C152,Просчет!H131,""),IF(Просчет!I132='Смета в налоговую'!C152,Просчет!H132,""),IF(Просчет!I133='Смета в налоговую'!C152,Просчет!H133,""),IF(Просчет!I134='Смета в налоговую'!C152,Просчет!H134,""),IF(Просчет!I112='Смета в налоговую'!C152,Просчет!H112,""),IF(Просчет!I113='Смета в налоговую'!C152,Просчет!H113,""),IF(Просчет!I114='Смета в налоговую'!C152,Просчет!H114,""),IF(Просчет!I115='Смета в налоговую'!C152,Просчет!H115,""),IF(Просчет!I116='Смета в налоговую'!C152,Просчет!H116,""),IF(Просчет!I117='Смета в налоговую'!C152,Просчет!H117,""),IF(Просчет!I118='Смета в налоговую'!C152,Просчет!H118,""),IF(Просчет!I119='Смета в налоговую'!C152,Просчет!H119,""),IF(Просчет!I120='Смета в налоговую'!C152,Просчет!H120,""),IF(Просчет!I121='Смета в налоговую'!C152,Просчет!H121,""),IF(Просчет!I122='Смета в налоговую'!C152,Просчет!H122,""),IF(Просчет!I123='Смета в налоговую'!C152,Просчет!H123,""),IF(Просчет!I124='Смета в налоговую'!C152,Просчет!H124,""))</f>
        <v/>
      </c>
      <c r="C152" s="270" t="str">
        <f>Просчет!A128</f>
        <v>Гипрок Стронг Аква 15мм</v>
      </c>
      <c r="D152" s="225">
        <f>IF(D120=0,Просчет!B128,0)</f>
        <v>0</v>
      </c>
      <c r="E152" s="208" t="str">
        <f>Просчет!C128</f>
        <v>шт</v>
      </c>
      <c r="F152" s="225">
        <v>488</v>
      </c>
      <c r="G152" s="208">
        <f t="shared" si="4"/>
        <v>214.72</v>
      </c>
      <c r="H152" s="209">
        <f t="shared" si="5"/>
        <v>0</v>
      </c>
      <c r="J152" s="297"/>
    </row>
    <row r="153" spans="1:10" s="4" customFormat="1" x14ac:dyDescent="0.25">
      <c r="A153" s="308"/>
      <c r="B153" s="281" t="str">
        <f>_xlfn.TEXTJOIN(", ",,IF(Просчет!I126='Смета в налоговую'!C153,Просчет!H126,""),IF(Просчет!I127='Смета в налоговую'!C153,Просчет!H127,""),IF(Просчет!I128='Смета в налоговую'!C153,Просчет!H128,""),IF(Просчет!I129='Смета в налоговую'!C153,Просчет!H129,""),IF(Просчет!I130='Смета в налоговую'!C153,Просчет!H130,""),IF(Просчет!I131='Смета в налоговую'!C153,Просчет!H131,""),IF(Просчет!I132='Смета в налоговую'!C153,Просчет!H132,""),IF(Просчет!I133='Смета в налоговую'!C153,Просчет!H133,""),IF(Просчет!I134='Смета в налоговую'!C153,Просчет!H134,""),IF(Просчет!I112='Смета в налоговую'!C153,Просчет!H112,""),IF(Просчет!I113='Смета в налоговую'!C153,Просчет!H113,""),IF(Просчет!I114='Смета в налоговую'!C153,Просчет!H114,""),IF(Просчет!I115='Смета в налоговую'!C153,Просчет!H115,""),IF(Просчет!I116='Смета в налоговую'!C153,Просчет!H116,""),IF(Просчет!I117='Смета в налоговую'!C153,Просчет!H117,""),IF(Просчет!I118='Смета в налоговую'!C153,Просчет!H118,""),IF(Просчет!I119='Смета в налоговую'!C153,Просчет!H119,""),IF(Просчет!I120='Смета в налоговую'!C153,Просчет!H120,""),IF(Просчет!I121='Смета в налоговую'!C153,Просчет!H121,""),IF(Просчет!I122='Смета в налоговую'!C153,Просчет!H122,""),IF(Просчет!I123='Смета в налоговую'!C153,Просчет!H123,""),IF(Просчет!I124='Смета в налоговую'!C153,Просчет!H124,""),IF(Просчет!I125='Смета в налоговую'!C153,Просчет!H125,""))</f>
        <v/>
      </c>
      <c r="C153" s="270" t="str">
        <f>Просчет!A129</f>
        <v>GTS, 9,5мм</v>
      </c>
      <c r="D153" s="225">
        <f>IF(D121=0,Просчет!B129,0)</f>
        <v>0</v>
      </c>
      <c r="E153" s="208" t="str">
        <f>Просчет!C129</f>
        <v>шт</v>
      </c>
      <c r="F153" s="225">
        <v>338</v>
      </c>
      <c r="G153" s="208">
        <f t="shared" si="4"/>
        <v>148.72</v>
      </c>
      <c r="H153" s="209">
        <f t="shared" si="5"/>
        <v>0</v>
      </c>
      <c r="J153" s="297"/>
    </row>
    <row r="154" spans="1:10" s="4" customFormat="1" x14ac:dyDescent="0.25">
      <c r="A154" s="308"/>
      <c r="B154" s="281" t="str">
        <f>_xlfn.TEXTJOIN(", ",,IF(Просчет!I127='Смета в налоговую'!C154,Просчет!H127,""),IF(Просчет!I128='Смета в налоговую'!C154,Просчет!H128,""),IF(Просчет!I129='Смета в налоговую'!C154,Просчет!H129,""),IF(Просчет!I130='Смета в налоговую'!C154,Просчет!H130,""),IF(Просчет!I131='Смета в налоговую'!C154,Просчет!H131,""),IF(Просчет!I132='Смета в налоговую'!C154,Просчет!H132,""),IF(Просчет!I133='Смета в налоговую'!C154,Просчет!H133,""),IF(Просчет!I134='Смета в налоговую'!C154,Просчет!H134,""),IF(Просчет!I112='Смета в налоговую'!C154,Просчет!H112,""),IF(Просчет!I113='Смета в налоговую'!C154,Просчет!H113,""),IF(Просчет!I114='Смета в налоговую'!C154,Просчет!H114,""),IF(Просчет!I115='Смета в налоговую'!C154,Просчет!H115,""),IF(Просчет!I116='Смета в налоговую'!C154,Просчет!H116,""),IF(Просчет!I117='Смета в налоговую'!C154,Просчет!H117,""),IF(Просчет!I118='Смета в налоговую'!C154,Просчет!H118,""),IF(Просчет!I119='Смета в налоговую'!C154,Просчет!H119,""),IF(Просчет!I120='Смета в налоговую'!C154,Просчет!H120,""),IF(Просчет!I121='Смета в налоговую'!C154,Просчет!H121,""),IF(Просчет!I122='Смета в налоговую'!C154,Просчет!H122,""),IF(Просчет!I123='Смета в налоговую'!C154,Просчет!H123,""),IF(Просчет!I124='Смета в налоговую'!C154,Просчет!H124,""),IF(Просчет!I125='Смета в налоговую'!C154,Просчет!H125,""),IF(Просчет!I126='Смета в налоговую'!C154,Просчет!H126,""))</f>
        <v/>
      </c>
      <c r="C154" s="270" t="str">
        <f>Просчет!A130</f>
        <v>Гипрок Лайт Аква 9,5мм</v>
      </c>
      <c r="D154" s="225">
        <f>IF(D122=0,Просчет!B130,0)</f>
        <v>0</v>
      </c>
      <c r="E154" s="208" t="str">
        <f>Просчет!C130</f>
        <v>шт</v>
      </c>
      <c r="F154" s="225">
        <v>375</v>
      </c>
      <c r="G154" s="208">
        <f t="shared" si="4"/>
        <v>165</v>
      </c>
      <c r="H154" s="209">
        <f t="shared" si="5"/>
        <v>0</v>
      </c>
      <c r="J154" s="297"/>
    </row>
    <row r="155" spans="1:10" s="4" customFormat="1" x14ac:dyDescent="0.25">
      <c r="A155" s="308"/>
      <c r="B155" s="281" t="str">
        <f>_xlfn.TEXTJOIN(", ",,IF(Просчет!I128='Смета в налоговую'!C155,Просчет!H128,""),IF(Просчет!I129='Смета в налоговую'!C155,Просчет!H129,""),IF(Просчет!I130='Смета в налоговую'!C155,Просчет!H130,""),IF(Просчет!I131='Смета в налоговую'!C155,Просчет!H131,""),IF(Просчет!I132='Смета в налоговую'!C155,Просчет!H132,""),IF(Просчет!I133='Смета в налоговую'!C155,Просчет!H133,""),IF(Просчет!I134='Смета в налоговую'!C155,Просчет!H134,""),IF(Просчет!I112='Смета в налоговую'!C155,Просчет!H112,""),IF(Просчет!I113='Смета в налоговую'!C155,Просчет!H113,""),IF(Просчет!I114='Смета в налоговую'!C155,Просчет!H114,""),IF(Просчет!I115='Смета в налоговую'!C155,Просчет!H115,""),IF(Просчет!I116='Смета в налоговую'!C155,Просчет!H116,""),IF(Просчет!I117='Смета в налоговую'!C155,Просчет!H117,""),IF(Просчет!I118='Смета в налоговую'!C155,Просчет!H118,""),IF(Просчет!I119='Смета в налоговую'!C155,Просчет!H119,""),IF(Просчет!I120='Смета в налоговую'!C155,Просчет!H120,""),IF(Просчет!I121='Смета в налоговую'!C155,Просчет!H121,""),IF(Просчет!I122='Смета в налоговую'!C155,Просчет!H122,""),IF(Просчет!I123='Смета в налоговую'!C155,Просчет!H123,""),IF(Просчет!I124='Смета в налоговую'!C155,Просчет!H124,""),IF(Просчет!I125='Смета в налоговую'!C155,Просчет!H125,""),IF(Просчет!I126='Смета в налоговую'!C155,Просчет!H126,""),IF(Просчет!I127='Смета в налоговую'!C155,Просчет!H127,""))</f>
        <v/>
      </c>
      <c r="C155" s="270" t="str">
        <f>Просчет!A131</f>
        <v>Сайдинг Docke Lux Блок-Хаус</v>
      </c>
      <c r="D155" s="225">
        <f>IF(D123=0,Просчет!B131,0)</f>
        <v>0</v>
      </c>
      <c r="E155" s="208" t="str">
        <f>Просчет!C131</f>
        <v>м2</v>
      </c>
      <c r="F155" s="251"/>
      <c r="G155" s="208">
        <f t="shared" si="4"/>
        <v>0</v>
      </c>
      <c r="H155" s="209">
        <f t="shared" si="5"/>
        <v>0</v>
      </c>
      <c r="J155" s="297"/>
    </row>
    <row r="156" spans="1:10" s="4" customFormat="1" ht="30" x14ac:dyDescent="0.25">
      <c r="A156" s="308"/>
      <c r="B156" s="281" t="str">
        <f>_xlfn.TEXTJOIN(", ",,IF(Просчет!I129='Смета в налоговую'!C156,Просчет!H129,""),IF(Просчет!I130='Смета в налоговую'!C156,Просчет!H130,""),IF(Просчет!I131='Смета в налоговую'!C156,Просчет!H131,""),IF(Просчет!I132='Смета в налоговую'!C156,Просчет!H132,""),IF(Просчет!I133='Смета в налоговую'!C156,Просчет!H133,""),IF(Просчет!I134='Смета в налоговую'!C156,Просчет!H134,""),IF(Просчет!I112='Смета в налоговую'!C156,Просчет!H112,""),IF(Просчет!I113='Смета в налоговую'!C156,Просчет!H113,""),IF(Просчет!I114='Смета в налоговую'!C156,Просчет!H114,""),IF(Просчет!I115='Смета в налоговую'!C156,Просчет!H115,""),IF(Просчет!I116='Смета в налоговую'!C156,Просчет!H116,""),IF(Просчет!I117='Смета в налоговую'!C156,Просчет!H117,""),IF(Просчет!I118='Смета в налоговую'!C156,Просчет!H118,""),IF(Просчет!I119='Смета в налоговую'!C156,Просчет!H119,""),IF(Просчет!I120='Смета в налоговую'!C156,Просчет!H120,""),IF(Просчет!I121='Смета в налоговую'!C156,Просчет!H121,""),IF(Просчет!I122='Смета в налоговую'!C156,Просчет!H122,""),IF(Просчет!I123='Смета в налоговую'!C156,Просчет!H123,""),IF(Просчет!I124='Смета в налоговую'!C156,Просчет!H124,""),IF(Просчет!I125='Смета в налоговую'!C156,Просчет!H125,""),IF(Просчет!I126='Смета в налоговую'!C156,Просчет!H126,""),IF(Просчет!I127='Смета в налоговую'!C156,Просчет!H127,""),IF(Просчет!I128='Смета в налоговую'!C156,Просчет!H128,""))</f>
        <v/>
      </c>
      <c r="C156" s="270" t="str">
        <f>Просчет!A132</f>
        <v>Панель Vox Solid Brick Regular (цвет - York)</v>
      </c>
      <c r="D156" s="225">
        <f>IF(D124=0,Просчет!B132,0)</f>
        <v>0</v>
      </c>
      <c r="E156" s="208" t="str">
        <f>Просчет!C132</f>
        <v>м2</v>
      </c>
      <c r="F156" s="251"/>
      <c r="G156" s="208">
        <f t="shared" si="4"/>
        <v>0</v>
      </c>
      <c r="H156" s="209">
        <f t="shared" si="5"/>
        <v>0</v>
      </c>
      <c r="J156" s="297"/>
    </row>
    <row r="157" spans="1:10" s="4" customFormat="1" ht="30" x14ac:dyDescent="0.25">
      <c r="A157" s="308"/>
      <c r="B157" s="281" t="str">
        <f>_xlfn.TEXTJOIN(", ",,IF(Просчет!I130='Смета в налоговую'!C157,Просчет!H130,""),IF(Просчет!I131='Смета в налоговую'!C157,Просчет!H131,""),IF(Просчет!I132='Смета в налоговую'!C157,Просчет!H132,""),IF(Просчет!I133='Смета в налоговую'!C157,Просчет!H133,""),IF(Просчет!I134='Смета в налоговую'!C157,Просчет!H134,""),IF(Просчет!I112='Смета в налоговую'!C157,Просчет!H112,""),IF(Просчет!I113='Смета в налоговую'!C157,Просчет!H113,""),IF(Просчет!I114='Смета в налоговую'!C157,Просчет!H114,""),IF(Просчет!I115='Смета в налоговую'!C157,Просчет!H115,""),IF(Просчет!I116='Смета в налоговую'!C157,Просчет!H116,""),IF(Просчет!I117='Смета в налоговую'!C157,Просчет!H117,""),IF(Просчет!I118='Смета в налоговую'!C157,Просчет!H118,""),IF(Просчет!I119='Смета в налоговую'!C157,Просчет!H119,""),IF(Просчет!I120='Смета в налоговую'!C157,Просчет!H120,""),IF(Просчет!I121='Смета в налоговую'!C157,Просчет!H121,""),IF(Просчет!I122='Смета в налоговую'!C157,Просчет!H122,""),IF(Просчет!I123='Смета в налоговую'!C157,Просчет!H123,""),IF(Просчет!I124='Смета в налоговую'!C157,Просчет!H124,""),IF(Просчет!I125='Смета в налоговую'!C157,Просчет!H125,""),IF(Просчет!I126='Смета в налоговую'!C157,Просчет!H126,""),IF(Просчет!I127='Смета в налоговую'!C157,Просчет!H127,""),IF(Просчет!I128='Смета в налоговую'!C157,Просчет!H128,""),IF(Просчет!I129='Смета в налоговую'!C157,Просчет!H129,""))</f>
        <v/>
      </c>
      <c r="C157" s="270" t="str">
        <f>Просчет!A133</f>
        <v>HAUBERK ТЕХНОНИКОЛЬ Терракотовый кирпич</v>
      </c>
      <c r="D157" s="225">
        <f>IF(D125=0,Просчет!B133,0)</f>
        <v>0</v>
      </c>
      <c r="E157" s="208" t="str">
        <f>Просчет!C133</f>
        <v>м2</v>
      </c>
      <c r="F157" s="251"/>
      <c r="G157" s="208">
        <f t="shared" si="4"/>
        <v>0</v>
      </c>
      <c r="H157" s="209">
        <f t="shared" si="5"/>
        <v>0</v>
      </c>
      <c r="J157" s="297"/>
    </row>
    <row r="158" spans="1:10" s="4" customFormat="1" ht="14.45" x14ac:dyDescent="0.3">
      <c r="A158" s="308"/>
      <c r="B158" s="281" t="str">
        <f>_xlfn.TEXTJOIN(", ",,IF(Просчет!I131='Смета в налоговую'!C158,Просчет!H131,""),IF(Просчет!I132='Смета в налоговую'!C158,Просчет!H132,""),IF(Просчет!I133='Смета в налоговую'!C158,Просчет!H133,""),IF(Просчет!I134='Смета в налоговую'!C158,Просчет!H134,""),IF(Просчет!I112='Смета в налоговую'!C158,Просчет!H112,""),IF(Просчет!I113='Смета в налоговую'!C158,Просчет!H113,""),IF(Просчет!I114='Смета в налоговую'!C158,Просчет!H114,""),IF(Просчет!I115='Смета в налоговую'!C158,Просчет!H115,""),IF(Просчет!I116='Смета в налоговую'!C158,Просчет!H116,""),IF(Просчет!I117='Смета в налоговую'!C158,Просчет!H117,""),IF(Просчет!I118='Смета в налоговую'!C158,Просчет!H118,""),IF(Просчет!I119='Смета в налоговую'!C158,Просчет!H119,""),IF(Просчет!I120='Смета в налоговую'!C158,Просчет!H120,""),IF(Просчет!I121='Смета в налоговую'!C158,Просчет!H121,""),IF(Просчет!I122='Смета в налоговую'!C158,Просчет!H122,""),IF(Просчет!I123='Смета в налоговую'!C158,Просчет!H123,""),IF(Просчет!I124='Смета в налоговую'!C158,Просчет!H124,""),IF(Просчет!I125='Смета в налоговую'!C158,Просчет!H125,""),IF(Просчет!I126='Смета в налоговую'!C158,Просчет!H126,""),IF(Просчет!I127='Смета в налоговую'!C158,Просчет!H127,""),IF(Просчет!I128='Смета в налоговую'!C158,Просчет!H128,""),IF(Просчет!I129='Смета в налоговую'!C158,Просчет!H129,""),IF(Просчет!I130='Смета в налоговую'!C158,Просчет!H130,""))</f>
        <v/>
      </c>
      <c r="C158" s="225" t="str">
        <f>Просчет!A140</f>
        <v>Рау-хаус 185х21- 6м, Сорт АВ</v>
      </c>
      <c r="D158" s="225">
        <f>IF(D126=0,Просчет!B140,0)</f>
        <v>0</v>
      </c>
      <c r="E158" s="225" t="str">
        <f>Просчет!C140</f>
        <v>м2</v>
      </c>
      <c r="F158" s="225">
        <v>500</v>
      </c>
      <c r="G158" s="208">
        <f t="shared" si="4"/>
        <v>220.00000000000003</v>
      </c>
      <c r="H158" s="209">
        <f t="shared" si="5"/>
        <v>0</v>
      </c>
      <c r="J158" s="297"/>
    </row>
    <row r="159" spans="1:10" s="4" customFormat="1" ht="14.45" x14ac:dyDescent="0.3">
      <c r="A159" s="308"/>
      <c r="B159" s="281" t="str">
        <f>_xlfn.TEXTJOIN(", ",,IF(Просчет!I132='Смета в налоговую'!C159,Просчет!H132,""),IF(Просчет!I133='Смета в налоговую'!C159,Просчет!H133,""),IF(Просчет!I134='Смета в налоговую'!C159,Просчет!H134,""),IF(Просчет!I112='Смета в налоговую'!C159,Просчет!H112,""),IF(Просчет!I113='Смета в налоговую'!C159,Просчет!H113,""),IF(Просчет!I114='Смета в налоговую'!C159,Просчет!H114,""),IF(Просчет!I115='Смета в налоговую'!C159,Просчет!H115,""),IF(Просчет!I116='Смета в налоговую'!C159,Просчет!H116,""),IF(Просчет!I117='Смета в налоговую'!C159,Просчет!H117,""),IF(Просчет!I118='Смета в налоговую'!C159,Просчет!H118,""),IF(Просчет!I119='Смета в налоговую'!C159,Просчет!H119,""),IF(Просчет!I120='Смета в налоговую'!C159,Просчет!H120,""),IF(Просчет!I121='Смета в налоговую'!C159,Просчет!H121,""),IF(Просчет!I122='Смета в налоговую'!C159,Просчет!H122,""),IF(Просчет!I123='Смета в налоговую'!C159,Просчет!H123,""),IF(Просчет!I124='Смета в налоговую'!C159,Просчет!H124,""),IF(Просчет!I125='Смета в налоговую'!C159,Просчет!H125,""),IF(Просчет!I126='Смета в налоговую'!C159,Просчет!H126,""),IF(Просчет!I127='Смета в налоговую'!C159,Просчет!H127,""),IF(Просчет!I128='Смета в налоговую'!C159,Просчет!H128,""),IF(Просчет!I129='Смета в налоговую'!C159,Просчет!H129,""),IF(Просчет!I130='Смета в налоговую'!C159,Просчет!H130,""),IF(Просчет!I131='Смета в налоговую'!C159,Просчет!H131,""))</f>
        <v/>
      </c>
      <c r="C159" s="225" t="str">
        <f>Просчет!A143</f>
        <v>Финский профиль, С (0,135)</v>
      </c>
      <c r="D159" s="225">
        <f>IF(D127=0,Просчет!B143,0)</f>
        <v>0</v>
      </c>
      <c r="E159" s="225" t="str">
        <f>Просчет!C143</f>
        <v>м2</v>
      </c>
      <c r="F159" s="252"/>
      <c r="G159" s="208">
        <f t="shared" si="4"/>
        <v>0</v>
      </c>
      <c r="H159" s="209">
        <f t="shared" si="5"/>
        <v>0</v>
      </c>
      <c r="J159" s="297"/>
    </row>
    <row r="160" spans="1:10" s="4" customFormat="1" ht="14.45" x14ac:dyDescent="0.3">
      <c r="A160" s="308"/>
      <c r="B160" s="281" t="str">
        <f>_xlfn.TEXTJOIN(", ",,IF(Просчет!I133='Смета в налоговую'!C160,Просчет!H133,""),IF(Просчет!I134='Смета в налоговую'!C160,Просчет!H134,""),IF(Просчет!I112='Смета в налоговую'!C160,Просчет!H112,""),IF(Просчет!I113='Смета в налоговую'!C160,Просчет!H113,""),IF(Просчет!I114='Смета в налоговую'!C160,Просчет!H114,""),IF(Просчет!I115='Смета в налоговую'!C160,Просчет!H115,""),IF(Просчет!I116='Смета в налоговую'!C160,Просчет!H116,""),IF(Просчет!I117='Смета в налоговую'!C160,Просчет!H117,""),IF(Просчет!I118='Смета в налоговую'!C160,Просчет!H118,""),IF(Просчет!I119='Смета в налоговую'!C160,Просчет!H119,""),IF(Просчет!I120='Смета в налоговую'!C160,Просчет!H120,""),IF(Просчет!I121='Смета в налоговую'!C160,Просчет!H121,""),IF(Просчет!I122='Смета в налоговую'!C160,Просчет!H122,""),IF(Просчет!I123='Смета в налоговую'!C160,Просчет!H123,""),IF(Просчет!I124='Смета в налоговую'!C160,Просчет!H124,""),IF(Просчет!I125='Смета в налоговую'!C160,Просчет!H125,""),IF(Просчет!I126='Смета в налоговую'!C160,Просчет!H126,""),IF(Просчет!I127='Смета в налоговую'!C160,Просчет!H127,""),IF(Просчет!I128='Смета в налоговую'!C160,Просчет!H128,""),IF(Просчет!I129='Смета в налоговую'!C160,Просчет!H129,""),IF(Просчет!I130='Смета в налоговую'!C160,Просчет!H130,""),IF(Просчет!I131='Смета в налоговую'!C160,Просчет!H131,""),IF(Просчет!I132='Смета в налоговую'!C160,Просчет!H132,""))</f>
        <v/>
      </c>
      <c r="C160" s="225" t="str">
        <f>Просчет!A144</f>
        <v>Блок-хаус, АВ (0,135)</v>
      </c>
      <c r="D160" s="225">
        <f>IF(D128=0,Просчет!B144,0)</f>
        <v>0</v>
      </c>
      <c r="E160" s="225" t="str">
        <f>Просчет!C144</f>
        <v>м2</v>
      </c>
      <c r="F160" s="225">
        <v>688</v>
      </c>
      <c r="G160" s="208">
        <f t="shared" si="4"/>
        <v>302.72000000000003</v>
      </c>
      <c r="H160" s="209">
        <f t="shared" si="5"/>
        <v>0</v>
      </c>
      <c r="J160" s="297"/>
    </row>
    <row r="161" spans="1:10" s="4" customFormat="1" ht="14.45" x14ac:dyDescent="0.3">
      <c r="A161" s="308"/>
      <c r="B161" s="281" t="str">
        <f>_xlfn.TEXTJOIN(", ",,IF(Просчет!I134='Смета в налоговую'!C161,Просчет!H134,""),IF(Просчет!I112='Смета в налоговую'!C161,Просчет!H112,""),IF(Просчет!I113='Смета в налоговую'!C161,Просчет!H113,""),IF(Просчет!I114='Смета в налоговую'!C161,Просчет!H114,""),IF(Просчет!I115='Смета в налоговую'!C161,Просчет!H115,""),IF(Просчет!I116='Смета в налоговую'!C161,Просчет!H116,""),IF(Просчет!I117='Смета в налоговую'!C161,Просчет!H117,""),IF(Просчет!I118='Смета в налоговую'!C161,Просчет!H118,""),IF(Просчет!I119='Смета в налоговую'!C161,Просчет!H119,""),IF(Просчет!I120='Смета в налоговую'!C161,Просчет!H120,""),IF(Просчет!I121='Смета в налоговую'!C161,Просчет!H121,""),IF(Просчет!I122='Смета в налоговую'!C161,Просчет!H122,""),IF(Просчет!I123='Смета в налоговую'!C161,Просчет!H123,""),IF(Просчет!I124='Смета в налоговую'!C161,Просчет!H124,""),IF(Просчет!I125='Смета в налоговую'!C161,Просчет!H125,""),IF(Просчет!I126='Смета в налоговую'!C161,Просчет!H126,""),IF(Просчет!I127='Смета в налоговую'!C161,Просчет!H127,""),IF(Просчет!I128='Смета в налоговую'!C161,Просчет!H128,""),IF(Просчет!I129='Смета в налоговую'!C161,Просчет!H129,""),IF(Просчет!I130='Смета в налоговую'!C161,Просчет!H130,""),IF(Просчет!I131='Смета в налоговую'!C161,Просчет!H131,""),IF(Просчет!I132='Смета в налоговую'!C161,Просчет!H132,""),IF(Просчет!I133='Смета в налоговую'!C161,Просчет!H133,""))</f>
        <v/>
      </c>
      <c r="C161" s="225" t="str">
        <f>Просчет!A145</f>
        <v>Блок-хаус, С (0,135)</v>
      </c>
      <c r="D161" s="225">
        <f>IF(D129=0,Просчет!B145,0)</f>
        <v>0</v>
      </c>
      <c r="E161" s="225" t="str">
        <f>Просчет!C145</f>
        <v>м2</v>
      </c>
      <c r="F161" s="225">
        <v>688</v>
      </c>
      <c r="G161" s="208">
        <f t="shared" si="4"/>
        <v>302.72000000000003</v>
      </c>
      <c r="H161" s="209">
        <f t="shared" si="5"/>
        <v>0</v>
      </c>
      <c r="J161" s="297"/>
    </row>
    <row r="162" spans="1:10" s="4" customFormat="1" ht="14.45" x14ac:dyDescent="0.3">
      <c r="A162" s="308"/>
      <c r="B162" s="281"/>
      <c r="C162" s="255" t="str">
        <f>Просчет!A146</f>
        <v>Укладка плитки Заказчика</v>
      </c>
      <c r="D162" s="255">
        <f>IF(D130=0,Просчет!B146,0)</f>
        <v>0</v>
      </c>
      <c r="E162" s="255" t="str">
        <f>Просчет!C146</f>
        <v>компл.</v>
      </c>
      <c r="F162" s="256">
        <v>0</v>
      </c>
      <c r="G162" s="208">
        <f t="shared" si="4"/>
        <v>0</v>
      </c>
      <c r="H162" s="209">
        <f t="shared" si="5"/>
        <v>0</v>
      </c>
      <c r="J162" s="297"/>
    </row>
    <row r="163" spans="1:10" s="4" customFormat="1" ht="14.45" x14ac:dyDescent="0.3">
      <c r="A163" s="308"/>
      <c r="B163" s="281"/>
      <c r="C163" s="255" t="str">
        <f>Просчет!A147</f>
        <v>Укладка ламината Заказчика</v>
      </c>
      <c r="D163" s="255">
        <f>IF(D131=0,Просчет!B147,0)</f>
        <v>0</v>
      </c>
      <c r="E163" s="255" t="str">
        <f>Просчет!C147</f>
        <v>компл.</v>
      </c>
      <c r="F163" s="256">
        <v>0</v>
      </c>
      <c r="G163" s="208">
        <f t="shared" si="4"/>
        <v>0</v>
      </c>
      <c r="H163" s="209">
        <f t="shared" si="5"/>
        <v>0</v>
      </c>
      <c r="J163" s="297"/>
    </row>
    <row r="164" spans="1:10" s="4" customFormat="1" ht="14.45" x14ac:dyDescent="0.3">
      <c r="A164" s="308"/>
      <c r="B164" s="281"/>
      <c r="C164" s="255" t="str">
        <f>Просчет!A148</f>
        <v>Монтаж обоев Заказчика</v>
      </c>
      <c r="D164" s="255">
        <f>IF(D132=0,Просчет!B148,0)</f>
        <v>0</v>
      </c>
      <c r="E164" s="255" t="str">
        <f>Просчет!C148</f>
        <v>компл.</v>
      </c>
      <c r="F164" s="256">
        <v>0</v>
      </c>
      <c r="G164" s="208">
        <f t="shared" si="4"/>
        <v>0</v>
      </c>
      <c r="H164" s="209">
        <f t="shared" si="5"/>
        <v>0</v>
      </c>
      <c r="J164" s="297"/>
    </row>
    <row r="165" spans="1:10" s="4" customFormat="1" ht="30" x14ac:dyDescent="0.25">
      <c r="A165" s="308"/>
      <c r="B165" s="281" t="str">
        <f>_xlfn.TEXTJOIN(", ",,IF(Просчет!I112='Смета в налоговую'!C165,Просчет!H112,""),IF(Просчет!I113='Смета в налоговую'!C165,Просчет!H113,""),IF(Просчет!I114='Смета в налоговую'!C165,Просчет!H114,""),IF(Просчет!I115='Смета в налоговую'!C165,Просчет!H115,""),IF(Просчет!I116='Смета в налоговую'!C165,Просчет!H116,""),IF(Просчет!I117='Смета в налоговую'!C165,Просчет!H117,""),IF(Просчет!I118='Смета в налоговую'!C165,Просчет!H118,""),IF(Просчет!I119='Смета в налоговую'!C165,Просчет!H119,""),IF(Просчет!I120='Смета в налоговую'!C165,Просчет!H120,""),IF(Просчет!I121='Смета в налоговую'!C165,Просчет!H121,""),IF(Просчет!I122='Смета в налоговую'!C165,Просчет!H122,""),IF(Просчет!I123='Смета в налоговую'!C165,Просчет!H123,""),IF(Просчет!I124='Смета в налоговую'!C165,Просчет!H124,""),IF(Просчет!I125='Смета в налоговую'!C165,Просчет!H125,""),IF(Просчет!I126='Смета в налоговую'!C165,Просчет!H126,""),IF(Просчет!I127='Смета в налоговую'!C165,Просчет!H127,""),IF(Просчет!I128='Смета в налоговую'!C165,Просчет!H128,""),IF(Просчет!I129='Смета в налоговую'!C165,Просчет!H129,""),IF(Просчет!I130='Смета в налоговую'!C165,Просчет!H130,""),IF(Просчет!I131='Смета в налоговую'!C165,Просчет!H131,""),IF(Просчет!I132='Смета в налоговую'!C165,Просчет!H132,""),IF(Просчет!I133='Смета в налоговую'!C165,Просчет!H133,""),IF(Просчет!I134='Смета в налоговую'!C165,Просчет!H134,""))</f>
        <v/>
      </c>
      <c r="C165" s="208" t="str">
        <f>Просчет!A149</f>
        <v>Натяжной потолок (белый, матовый)</v>
      </c>
      <c r="D165" s="225">
        <f>IF(D133=0,Просчет!B149,0)</f>
        <v>0</v>
      </c>
      <c r="E165" s="225" t="str">
        <f>Просчет!C149</f>
        <v>м2</v>
      </c>
      <c r="F165" s="249"/>
      <c r="G165" s="208">
        <f t="shared" si="4"/>
        <v>0</v>
      </c>
      <c r="H165" s="209">
        <f t="shared" si="5"/>
        <v>0</v>
      </c>
      <c r="J165" s="297"/>
    </row>
    <row r="166" spans="1:10" s="4" customFormat="1" ht="14.45" x14ac:dyDescent="0.3">
      <c r="A166" s="308"/>
      <c r="B166" s="281" t="str">
        <f>_xlfn.TEXTJOIN(", ",,IF(Просчет!I113='Смета в налоговую'!C166,Просчет!H113,""),IF(Просчет!I114='Смета в налоговую'!C166,Просчет!H114,""),IF(Просчет!I115='Смета в налоговую'!C166,Просчет!H115,""),IF(Просчет!I116='Смета в налоговую'!C166,Просчет!H116,""),IF(Просчет!I117='Смета в налоговую'!C166,Просчет!H117,""),IF(Просчет!I118='Смета в налоговую'!C166,Просчет!H118,""),IF(Просчет!I119='Смета в налоговую'!C166,Просчет!H119,""),IF(Просчет!I120='Смета в налоговую'!C166,Просчет!H120,""),IF(Просчет!I121='Смета в налоговую'!C166,Просчет!H121,""),IF(Просчет!I122='Смета в налоговую'!C166,Просчет!H122,""),IF(Просчет!I123='Смета в налоговую'!C166,Просчет!H123,""),IF(Просчет!I124='Смета в налоговую'!C166,Просчет!H124,""),IF(Просчет!I125='Смета в налоговую'!C166,Просчет!H125,""),IF(Просчет!I126='Смета в налоговую'!C166,Просчет!H126,""),IF(Просчет!I127='Смета в налоговую'!C166,Просчет!H127,""),IF(Просчет!I128='Смета в налоговую'!C166,Просчет!H128,""),IF(Просчет!I129='Смета в налоговую'!C166,Просчет!H129,""),IF(Просчет!I130='Смета в налоговую'!C166,Просчет!H130,""),IF(Просчет!I131='Смета в налоговую'!C166,Просчет!H131,""),IF(Просчет!I132='Смета в налоговую'!C166,Просчет!H132,""),IF(Просчет!I133='Смета в налоговую'!C166,Просчет!H133,""),IF(Просчет!I134='Смета в налоговую'!C166,Просчет!H134,""),IF(Просчет!I112='Смета в налоговую'!C166,Просчет!H112,""))</f>
        <v/>
      </c>
      <c r="C166" s="225" t="str">
        <f>Просчет!A267</f>
        <v>Вагонка осина 90х12,5 - 2м</v>
      </c>
      <c r="D166" s="225">
        <f>IF(D134=0,Просчет!B267,0)</f>
        <v>0</v>
      </c>
      <c r="E166" s="225" t="str">
        <f>Просчет!C267</f>
        <v>м2</v>
      </c>
      <c r="F166" s="225">
        <v>438</v>
      </c>
      <c r="G166" s="208">
        <f t="shared" si="4"/>
        <v>192.72</v>
      </c>
      <c r="H166" s="209">
        <f t="shared" si="5"/>
        <v>0</v>
      </c>
      <c r="J166" s="297"/>
    </row>
    <row r="167" spans="1:10" s="4" customFormat="1" ht="14.45" x14ac:dyDescent="0.3">
      <c r="A167" s="308"/>
      <c r="B167" s="281" t="str">
        <f>_xlfn.TEXTJOIN(", ",,IF(Просчет!I114='Смета в налоговую'!C167,Просчет!H114,""),IF(Просчет!I115='Смета в налоговую'!C167,Просчет!H115,""),IF(Просчет!I116='Смета в налоговую'!C167,Просчет!H116,""),IF(Просчет!I117='Смета в налоговую'!C167,Просчет!H117,""),IF(Просчет!I118='Смета в налоговую'!C167,Просчет!H118,""),IF(Просчет!I119='Смета в налоговую'!C167,Просчет!H119,""),IF(Просчет!I120='Смета в налоговую'!C167,Просчет!H120,""),IF(Просчет!I121='Смета в налоговую'!C167,Просчет!H121,""),IF(Просчет!I122='Смета в налоговую'!C167,Просчет!H122,""),IF(Просчет!I123='Смета в налоговую'!C167,Просчет!H123,""),IF(Просчет!I124='Смета в налоговую'!C167,Просчет!H124,""),IF(Просчет!I125='Смета в налоговую'!C167,Просчет!H125,""),IF(Просчет!I126='Смета в налоговую'!C167,Просчет!H126,""),IF(Просчет!I127='Смета в налоговую'!C167,Просчет!H127,""),IF(Просчет!I128='Смета в налоговую'!C167,Просчет!H128,""),IF(Просчет!I129='Смета в налоговую'!C167,Просчет!H129,""),IF(Просчет!I130='Смета в налоговую'!C167,Просчет!H130,""),IF(Просчет!I131='Смета в налоговую'!C167,Просчет!H131,""),IF(Просчет!I132='Смета в налоговую'!C167,Просчет!H132,""),IF(Просчет!I133='Смета в налоговую'!C167,Просчет!H133,""),IF(Просчет!I134='Смета в налоговую'!C167,Просчет!H134,""),IF(Просчет!I112='Смета в налоговую'!C167,Просчет!H112,""),IF(Просчет!I113='Смета в налоговую'!C167,Просчет!H113,""))</f>
        <v/>
      </c>
      <c r="C167" s="225" t="str">
        <f>Просчет!A268</f>
        <v>Вагонка липа 90х12,5 - 2м</v>
      </c>
      <c r="D167" s="225">
        <f>IF(D135=0,Просчет!B268,0)</f>
        <v>0</v>
      </c>
      <c r="E167" s="225" t="str">
        <f>Просчет!C268</f>
        <v>м2</v>
      </c>
      <c r="F167" s="225">
        <v>625</v>
      </c>
      <c r="G167" s="208">
        <f t="shared" si="4"/>
        <v>275</v>
      </c>
      <c r="H167" s="209">
        <f t="shared" si="5"/>
        <v>0</v>
      </c>
      <c r="J167" s="297"/>
    </row>
    <row r="168" spans="1:10" s="65" customFormat="1" x14ac:dyDescent="0.25">
      <c r="A168" s="308"/>
      <c r="B168" s="281" t="str">
        <f>_xlfn.TEXTJOIN(", ",,IF(Просчет!I115='Смета в налоговую'!C168,Просчет!H115,""),IF(Просчет!I116='Смета в налоговую'!C168,Просчет!H116,""),IF(Просчет!I117='Смета в налоговую'!C168,Просчет!H117,""),IF(Просчет!I118='Смета в налоговую'!C168,Просчет!H118,""),IF(Просчет!I119='Смета в налоговую'!C168,Просчет!H119,""),IF(Просчет!I120='Смета в налоговую'!C168,Просчет!H120,""),IF(Просчет!I121='Смета в налоговую'!C168,Просчет!H121,""),IF(Просчет!I122='Смета в налоговую'!C168,Просчет!H122,""),IF(Просчет!I123='Смета в налоговую'!C168,Просчет!H123,""),IF(Просчет!I124='Смета в налоговую'!C168,Просчет!H124,""),IF(Просчет!I125='Смета в налоговую'!C168,Просчет!H125,""),IF(Просчет!I126='Смета в налоговую'!C168,Просчет!H126,""),IF(Просчет!I127='Смета в налоговую'!C168,Просчет!H127,""),IF(Просчет!I128='Смета в налоговую'!C168,Просчет!H128,""),IF(Просчет!I129='Смета в налоговую'!C168,Просчет!H129,""),IF(Просчет!I130='Смета в налоговую'!C168,Просчет!H130,""),IF(Просчет!I131='Смета в налоговую'!C168,Просчет!H131,""),IF(Просчет!I132='Смета в налоговую'!C168,Просчет!H132,""),IF(Просчет!I133='Смета в налоговую'!C168,Просчет!H133,""),IF(Просчет!I134='Смета в налоговую'!C168,Просчет!H134,""),IF(Просчет!I112='Смета в налоговую'!C168,Просчет!H112,""),IF(Просчет!I113='Смета в налоговую'!C168,Просчет!H113,""),IF(Просчет!I114='Смета в налоговую'!C168,Просчет!H114,""))</f>
        <v/>
      </c>
      <c r="C168" s="270" t="str">
        <f>Просчет!A287</f>
        <v>Петли для двери на чердак</v>
      </c>
      <c r="D168" s="225">
        <f>IF(D136=0,Просчет!B287,0)</f>
        <v>0</v>
      </c>
      <c r="E168" s="208" t="str">
        <f>Просчет!C287</f>
        <v>шт</v>
      </c>
      <c r="F168" s="208">
        <v>250</v>
      </c>
      <c r="G168" s="208">
        <f t="shared" si="4"/>
        <v>110.00000000000001</v>
      </c>
      <c r="H168" s="209">
        <f t="shared" si="5"/>
        <v>0</v>
      </c>
      <c r="J168" s="298"/>
    </row>
    <row r="169" spans="1:10" s="65" customFormat="1" ht="15.6" customHeight="1" thickBot="1" x14ac:dyDescent="0.35">
      <c r="A169" s="308"/>
      <c r="B169" s="282" t="str">
        <f>_xlfn.TEXTJOIN(", ",,IF(Просчет!I116='Смета в налоговую'!C169,Просчет!H116,""),IF(Просчет!I117='Смета в налоговую'!C169,Просчет!H117,""),IF(Просчет!I118='Смета в налоговую'!C169,Просчет!H118,""),IF(Просчет!I119='Смета в налоговую'!C169,Просчет!H119,""),IF(Просчет!I120='Смета в налоговую'!C169,Просчет!H120,""),IF(Просчет!I121='Смета в налоговую'!C169,Просчет!H121,""),IF(Просчет!I122='Смета в налоговую'!C169,Просчет!H122,""),IF(Просчет!I123='Смета в налоговую'!C169,Просчет!H123,""),IF(Просчет!I124='Смета в налоговую'!C169,Просчет!H124,""),IF(Просчет!I125='Смета в налоговую'!C169,Просчет!H125,""),IF(Просчет!I126='Смета в налоговую'!C169,Просчет!H126,""),IF(Просчет!I127='Смета в налоговую'!C169,Просчет!H127,""),IF(Просчет!I128='Смета в налоговую'!C169,Просчет!H128,""),IF(Просчет!I129='Смета в налоговую'!C169,Просчет!H129,""),IF(Просчет!I130='Смета в налоговую'!C169,Просчет!H130,""),IF(Просчет!I131='Смета в налоговую'!C169,Просчет!H131,""),IF(Просчет!I132='Смета в налоговую'!C169,Просчет!H132,""),IF(Просчет!I133='Смета в налоговую'!C169,Просчет!H133,""),IF(Просчет!I134='Смета в налоговую'!C169,Просчет!H134,""),IF(Просчет!I112='Смета в налоговую'!C169,Просчет!H112,""),IF(Просчет!I113='Смета в налоговую'!C169,Просчет!H113,""),IF(Просчет!I114='Смета в налоговую'!C169,Просчет!H114,""),IF(Просчет!I115='Смета в налоговую'!C169,Просчет!H115,""))</f>
        <v/>
      </c>
      <c r="C169" s="272" t="str">
        <f>Просчет!A288</f>
        <v>Петли для люка</v>
      </c>
      <c r="D169" s="239">
        <f>IF(D137=0,Просчет!B288,0)</f>
        <v>0</v>
      </c>
      <c r="E169" s="226" t="str">
        <f>Просчет!C288</f>
        <v>шт</v>
      </c>
      <c r="F169" s="226">
        <v>250</v>
      </c>
      <c r="G169" s="226">
        <f t="shared" si="4"/>
        <v>110.00000000000001</v>
      </c>
      <c r="H169" s="235">
        <f t="shared" si="5"/>
        <v>0</v>
      </c>
      <c r="J169" s="298"/>
    </row>
    <row r="170" spans="1:10" s="16" customFormat="1" ht="15.75" thickBot="1" x14ac:dyDescent="0.3">
      <c r="A170" s="353">
        <f>A138+1</f>
        <v>8</v>
      </c>
      <c r="B170" s="612" t="s">
        <v>8</v>
      </c>
      <c r="C170" s="613"/>
      <c r="D170" s="613"/>
      <c r="E170" s="613"/>
      <c r="F170" s="613"/>
      <c r="G170" s="613"/>
      <c r="H170" s="614"/>
      <c r="J170" s="301"/>
    </row>
    <row r="171" spans="1:10" ht="15.75" thickBot="1" x14ac:dyDescent="0.3">
      <c r="A171" s="308"/>
      <c r="B171" s="245" t="s">
        <v>820</v>
      </c>
      <c r="C171" s="245">
        <f>Просчет!H135</f>
        <v>0</v>
      </c>
      <c r="D171" s="262">
        <f>Просчет!B151</f>
        <v>0</v>
      </c>
      <c r="E171" s="262" t="s">
        <v>722</v>
      </c>
      <c r="F171" s="263"/>
      <c r="G171" s="264">
        <f t="shared" si="4"/>
        <v>0</v>
      </c>
      <c r="H171" s="265">
        <f t="shared" si="5"/>
        <v>0</v>
      </c>
    </row>
    <row r="172" spans="1:10" s="65" customFormat="1" ht="15.75" thickBot="1" x14ac:dyDescent="0.3">
      <c r="A172" s="353">
        <f>A170+1</f>
        <v>9</v>
      </c>
      <c r="B172" s="615" t="s">
        <v>240</v>
      </c>
      <c r="C172" s="615"/>
      <c r="D172" s="615"/>
      <c r="E172" s="615"/>
      <c r="F172" s="615"/>
      <c r="G172" s="615"/>
      <c r="H172" s="616"/>
      <c r="J172" s="298"/>
    </row>
    <row r="173" spans="1:10" ht="30" x14ac:dyDescent="0.25">
      <c r="A173" s="308"/>
      <c r="B173" s="284" t="s">
        <v>879</v>
      </c>
      <c r="C173" s="238" t="str">
        <f>Просчет!A152</f>
        <v>Двери МДФ, белые(полот., пет, ручки, обн. кор.)</v>
      </c>
      <c r="D173" s="240">
        <f>Просчет!B152</f>
        <v>0</v>
      </c>
      <c r="E173" s="240" t="str">
        <f>Просчет!C152</f>
        <v>шт</v>
      </c>
      <c r="F173" s="286"/>
      <c r="G173" s="240">
        <f t="shared" si="4"/>
        <v>0</v>
      </c>
      <c r="H173" s="241">
        <f t="shared" si="5"/>
        <v>0</v>
      </c>
    </row>
    <row r="174" spans="1:10" s="4" customFormat="1" ht="30" x14ac:dyDescent="0.25">
      <c r="A174" s="308"/>
      <c r="B174" s="281" t="s">
        <v>879</v>
      </c>
      <c r="C174" s="270" t="str">
        <f>Просчет!A153</f>
        <v>Дверь межкомнатные Браво с фурнитурой</v>
      </c>
      <c r="D174" s="208">
        <f>Просчет!B153</f>
        <v>0</v>
      </c>
      <c r="E174" s="208" t="str">
        <f>Просчет!C153</f>
        <v>шт</v>
      </c>
      <c r="F174" s="251"/>
      <c r="G174" s="208">
        <f t="shared" si="4"/>
        <v>0</v>
      </c>
      <c r="H174" s="209">
        <f t="shared" si="5"/>
        <v>0</v>
      </c>
      <c r="J174" s="297"/>
    </row>
    <row r="175" spans="1:10" s="4" customFormat="1" x14ac:dyDescent="0.25">
      <c r="A175" s="308"/>
      <c r="B175" s="281" t="s">
        <v>879</v>
      </c>
      <c r="C175" s="270" t="str">
        <f>Просчет!A154</f>
        <v>Дверь филенчатая 60 см (компл.)</v>
      </c>
      <c r="D175" s="208">
        <f>Просчет!B154</f>
        <v>0</v>
      </c>
      <c r="E175" s="208" t="str">
        <f>Просчет!C154</f>
        <v>шт</v>
      </c>
      <c r="F175" s="225">
        <v>3000</v>
      </c>
      <c r="G175" s="208">
        <f t="shared" si="4"/>
        <v>1320</v>
      </c>
      <c r="H175" s="209">
        <f t="shared" si="5"/>
        <v>0</v>
      </c>
      <c r="J175" s="297"/>
    </row>
    <row r="176" spans="1:10" s="4" customFormat="1" x14ac:dyDescent="0.25">
      <c r="A176" s="308"/>
      <c r="B176" s="281" t="s">
        <v>879</v>
      </c>
      <c r="C176" s="270" t="str">
        <f>Просчет!A155</f>
        <v>Дверь филенчатая 70 см (компл.)</v>
      </c>
      <c r="D176" s="208">
        <f>Просчет!B155</f>
        <v>0</v>
      </c>
      <c r="E176" s="208" t="str">
        <f>Просчет!C155</f>
        <v>шт</v>
      </c>
      <c r="F176" s="225">
        <v>3000</v>
      </c>
      <c r="G176" s="208">
        <f t="shared" si="4"/>
        <v>1320</v>
      </c>
      <c r="H176" s="209">
        <f t="shared" si="5"/>
        <v>0</v>
      </c>
      <c r="J176" s="297"/>
    </row>
    <row r="177" spans="1:10" s="4" customFormat="1" x14ac:dyDescent="0.25">
      <c r="A177" s="308"/>
      <c r="B177" s="281" t="s">
        <v>879</v>
      </c>
      <c r="C177" s="270" t="str">
        <f>Просчет!A156</f>
        <v>Дверь филенчатая 80 см (компл.)</v>
      </c>
      <c r="D177" s="208">
        <f>Просчет!B156</f>
        <v>0</v>
      </c>
      <c r="E177" s="208" t="str">
        <f>Просчет!C156</f>
        <v>шт</v>
      </c>
      <c r="F177" s="225">
        <v>3000</v>
      </c>
      <c r="G177" s="208">
        <f t="shared" si="4"/>
        <v>1320</v>
      </c>
      <c r="H177" s="209">
        <f t="shared" si="5"/>
        <v>0</v>
      </c>
      <c r="J177" s="297"/>
    </row>
    <row r="178" spans="1:10" s="4" customFormat="1" x14ac:dyDescent="0.25">
      <c r="A178" s="308"/>
      <c r="B178" s="281" t="s">
        <v>879</v>
      </c>
      <c r="C178" s="270" t="str">
        <f>Просчет!A157</f>
        <v>Дверь филенчатая 90 см (компл.)</v>
      </c>
      <c r="D178" s="208">
        <f>Просчет!B157</f>
        <v>0</v>
      </c>
      <c r="E178" s="208" t="str">
        <f>Просчет!C157</f>
        <v>шт</v>
      </c>
      <c r="F178" s="225">
        <v>3000</v>
      </c>
      <c r="G178" s="208">
        <f t="shared" si="4"/>
        <v>1320</v>
      </c>
      <c r="H178" s="209">
        <f t="shared" si="5"/>
        <v>0</v>
      </c>
      <c r="J178" s="297"/>
    </row>
    <row r="179" spans="1:10" s="4" customFormat="1" x14ac:dyDescent="0.25">
      <c r="A179" s="308"/>
      <c r="B179" s="281" t="s">
        <v>879</v>
      </c>
      <c r="C179" s="270" t="str">
        <f>Просчет!A158</f>
        <v>Дверь банная</v>
      </c>
      <c r="D179" s="208">
        <f>Просчет!B158</f>
        <v>0</v>
      </c>
      <c r="E179" s="208" t="str">
        <f>Просчет!C158</f>
        <v>шт</v>
      </c>
      <c r="F179" s="225">
        <v>2250</v>
      </c>
      <c r="G179" s="208">
        <f t="shared" si="4"/>
        <v>990.00000000000011</v>
      </c>
      <c r="H179" s="209">
        <f t="shared" si="5"/>
        <v>0</v>
      </c>
      <c r="J179" s="297"/>
    </row>
    <row r="180" spans="1:10" s="4" customFormat="1" x14ac:dyDescent="0.25">
      <c r="A180" s="308"/>
      <c r="B180" s="281" t="s">
        <v>879</v>
      </c>
      <c r="C180" s="270" t="str">
        <f>Просчет!A159</f>
        <v>Дверь банная со стеклом</v>
      </c>
      <c r="D180" s="208">
        <f>Просчет!B159</f>
        <v>0</v>
      </c>
      <c r="E180" s="208" t="str">
        <f>Просчет!C159</f>
        <v>шт</v>
      </c>
      <c r="F180" s="225">
        <v>6250</v>
      </c>
      <c r="G180" s="208">
        <f t="shared" si="4"/>
        <v>2750</v>
      </c>
      <c r="H180" s="209">
        <f t="shared" si="5"/>
        <v>0</v>
      </c>
      <c r="J180" s="297"/>
    </row>
    <row r="181" spans="1:10" s="4" customFormat="1" x14ac:dyDescent="0.25">
      <c r="A181" s="308"/>
      <c r="B181" s="281" t="s">
        <v>879</v>
      </c>
      <c r="C181" s="270" t="str">
        <f>Просчет!A160</f>
        <v>Дверь стеклянная</v>
      </c>
      <c r="D181" s="208">
        <f>Просчет!B160</f>
        <v>0</v>
      </c>
      <c r="E181" s="208" t="str">
        <f>Просчет!C160</f>
        <v>шт</v>
      </c>
      <c r="F181" s="225">
        <v>6250</v>
      </c>
      <c r="G181" s="208">
        <f t="shared" si="4"/>
        <v>2750</v>
      </c>
      <c r="H181" s="209">
        <f t="shared" si="5"/>
        <v>0</v>
      </c>
      <c r="J181" s="297"/>
    </row>
    <row r="182" spans="1:10" s="4" customFormat="1" x14ac:dyDescent="0.25">
      <c r="A182" s="308"/>
      <c r="B182" s="281" t="s">
        <v>879</v>
      </c>
      <c r="C182" s="261" t="s">
        <v>886</v>
      </c>
      <c r="D182" s="256">
        <v>0</v>
      </c>
      <c r="E182" s="256" t="s">
        <v>0</v>
      </c>
      <c r="F182" s="255">
        <v>0</v>
      </c>
      <c r="G182" s="208">
        <f t="shared" si="4"/>
        <v>0</v>
      </c>
      <c r="H182" s="209">
        <f t="shared" si="5"/>
        <v>0</v>
      </c>
      <c r="J182" s="297"/>
    </row>
    <row r="183" spans="1:10" s="4" customFormat="1" ht="30" x14ac:dyDescent="0.25">
      <c r="A183" s="308"/>
      <c r="B183" s="281" t="s">
        <v>821</v>
      </c>
      <c r="C183" s="270" t="str">
        <f>Просчет!A161</f>
        <v>Дверь входная 1,2мм РФ левая не утепленная</v>
      </c>
      <c r="D183" s="208">
        <f>Просчет!B161</f>
        <v>0</v>
      </c>
      <c r="E183" s="208" t="str">
        <f>Просчет!C161</f>
        <v>шт</v>
      </c>
      <c r="F183" s="225">
        <v>10000</v>
      </c>
      <c r="G183" s="208">
        <f t="shared" si="4"/>
        <v>4400</v>
      </c>
      <c r="H183" s="209">
        <f t="shared" si="5"/>
        <v>0</v>
      </c>
      <c r="J183" s="297"/>
    </row>
    <row r="184" spans="1:10" s="4" customFormat="1" ht="30" x14ac:dyDescent="0.25">
      <c r="A184" s="308"/>
      <c r="B184" s="281" t="s">
        <v>821</v>
      </c>
      <c r="C184" s="270" t="str">
        <f>Просчет!A162</f>
        <v>Дверь входная 1,2мм РФ правая не утепленная</v>
      </c>
      <c r="D184" s="208">
        <f>Просчет!B162</f>
        <v>0</v>
      </c>
      <c r="E184" s="208" t="str">
        <f>Просчет!C162</f>
        <v>шт</v>
      </c>
      <c r="F184" s="225">
        <v>10000</v>
      </c>
      <c r="G184" s="208">
        <f t="shared" si="4"/>
        <v>4400</v>
      </c>
      <c r="H184" s="209">
        <f t="shared" si="5"/>
        <v>0</v>
      </c>
      <c r="J184" s="297"/>
    </row>
    <row r="185" spans="1:10" s="4" customFormat="1" ht="30" x14ac:dyDescent="0.25">
      <c r="A185" s="308"/>
      <c r="B185" s="281" t="s">
        <v>821</v>
      </c>
      <c r="C185" s="270" t="str">
        <f>Просчет!A163</f>
        <v>Дверь входная 1,5мм РФ левая утепленная</v>
      </c>
      <c r="D185" s="208">
        <f>Просчет!B163</f>
        <v>0</v>
      </c>
      <c r="E185" s="208" t="str">
        <f>Просчет!C163</f>
        <v>шт</v>
      </c>
      <c r="F185" s="225">
        <v>13750</v>
      </c>
      <c r="G185" s="208">
        <f t="shared" si="4"/>
        <v>6050.0000000000009</v>
      </c>
      <c r="H185" s="209">
        <f t="shared" si="5"/>
        <v>0</v>
      </c>
      <c r="J185" s="297"/>
    </row>
    <row r="186" spans="1:10" s="4" customFormat="1" ht="30" x14ac:dyDescent="0.25">
      <c r="A186" s="308"/>
      <c r="B186" s="281" t="s">
        <v>821</v>
      </c>
      <c r="C186" s="270" t="str">
        <f>Просчет!A164</f>
        <v>Дверь входная 1,5мм РФ правая утепленная</v>
      </c>
      <c r="D186" s="208">
        <f>Просчет!B164</f>
        <v>0</v>
      </c>
      <c r="E186" s="208" t="str">
        <f>Просчет!C164</f>
        <v>шт</v>
      </c>
      <c r="F186" s="225">
        <v>13750</v>
      </c>
      <c r="G186" s="208">
        <f t="shared" si="4"/>
        <v>6050.0000000000009</v>
      </c>
      <c r="H186" s="209">
        <f t="shared" si="5"/>
        <v>0</v>
      </c>
      <c r="J186" s="297"/>
    </row>
    <row r="187" spans="1:10" s="4" customFormat="1" ht="30" x14ac:dyDescent="0.25">
      <c r="A187" s="308"/>
      <c r="B187" s="281" t="s">
        <v>821</v>
      </c>
      <c r="C187" s="270" t="str">
        <f>Просчет!A165</f>
        <v>Дверь входная с терморазрывом левая</v>
      </c>
      <c r="D187" s="208">
        <f>Просчет!B165</f>
        <v>0</v>
      </c>
      <c r="E187" s="208" t="str">
        <f>Просчет!C165</f>
        <v>шт</v>
      </c>
      <c r="F187" s="225">
        <v>23125</v>
      </c>
      <c r="G187" s="208">
        <f t="shared" si="4"/>
        <v>10175</v>
      </c>
      <c r="H187" s="209">
        <f t="shared" si="5"/>
        <v>0</v>
      </c>
      <c r="J187" s="297"/>
    </row>
    <row r="188" spans="1:10" s="4" customFormat="1" ht="30" x14ac:dyDescent="0.25">
      <c r="A188" s="308"/>
      <c r="B188" s="281" t="s">
        <v>821</v>
      </c>
      <c r="C188" s="270" t="str">
        <f>Просчет!A166</f>
        <v>Дверь входная с терморазрывом правая</v>
      </c>
      <c r="D188" s="208">
        <f>Просчет!B166</f>
        <v>0</v>
      </c>
      <c r="E188" s="208" t="str">
        <f>Просчет!C166</f>
        <v>шт</v>
      </c>
      <c r="F188" s="225">
        <v>23125</v>
      </c>
      <c r="G188" s="208">
        <f t="shared" si="4"/>
        <v>10175</v>
      </c>
      <c r="H188" s="209">
        <f t="shared" si="5"/>
        <v>0</v>
      </c>
      <c r="J188" s="297"/>
    </row>
    <row r="189" spans="1:10" s="4" customFormat="1" ht="15.75" thickBot="1" x14ac:dyDescent="0.3">
      <c r="A189" s="308"/>
      <c r="B189" s="282" t="s">
        <v>821</v>
      </c>
      <c r="C189" s="279" t="s">
        <v>885</v>
      </c>
      <c r="D189" s="280">
        <v>0</v>
      </c>
      <c r="E189" s="280" t="s">
        <v>0</v>
      </c>
      <c r="F189" s="277">
        <v>0</v>
      </c>
      <c r="G189" s="226">
        <f t="shared" si="4"/>
        <v>0</v>
      </c>
      <c r="H189" s="235">
        <f t="shared" si="5"/>
        <v>0</v>
      </c>
      <c r="J189" s="297"/>
    </row>
    <row r="190" spans="1:10" s="65" customFormat="1" ht="15.75" thickBot="1" x14ac:dyDescent="0.3">
      <c r="A190" s="353">
        <f>A172+1</f>
        <v>10</v>
      </c>
      <c r="B190" s="615" t="s">
        <v>290</v>
      </c>
      <c r="C190" s="615"/>
      <c r="D190" s="615"/>
      <c r="E190" s="615"/>
      <c r="F190" s="615"/>
      <c r="G190" s="615"/>
      <c r="H190" s="616"/>
      <c r="J190" s="298"/>
    </row>
    <row r="191" spans="1:10" s="4" customFormat="1" ht="15.75" thickBot="1" x14ac:dyDescent="0.3">
      <c r="A191" s="308"/>
      <c r="B191" s="245" t="s">
        <v>823</v>
      </c>
      <c r="C191" s="245">
        <f>Просчет!H136</f>
        <v>0</v>
      </c>
      <c r="D191" s="264">
        <f>IF(C191&gt;0,1,0)</f>
        <v>0</v>
      </c>
      <c r="E191" s="264" t="s">
        <v>722</v>
      </c>
      <c r="F191" s="263"/>
      <c r="G191" s="264">
        <f t="shared" si="4"/>
        <v>0</v>
      </c>
      <c r="H191" s="265">
        <f t="shared" si="5"/>
        <v>0</v>
      </c>
      <c r="J191" s="297"/>
    </row>
    <row r="192" spans="1:10" s="65" customFormat="1" ht="15.75" thickBot="1" x14ac:dyDescent="0.3">
      <c r="A192" s="353">
        <f>A190+1</f>
        <v>11</v>
      </c>
      <c r="B192" s="615" t="s">
        <v>3</v>
      </c>
      <c r="C192" s="615"/>
      <c r="D192" s="615"/>
      <c r="E192" s="615"/>
      <c r="F192" s="615"/>
      <c r="G192" s="615"/>
      <c r="H192" s="616"/>
      <c r="J192" s="298"/>
    </row>
    <row r="193" spans="1:10" ht="30.75" thickBot="1" x14ac:dyDescent="0.3">
      <c r="A193" s="355"/>
      <c r="B193" s="319"/>
      <c r="C193" s="246" t="s">
        <v>822</v>
      </c>
      <c r="D193" s="230">
        <v>1</v>
      </c>
      <c r="E193" s="230" t="s">
        <v>722</v>
      </c>
      <c r="F193" s="260">
        <f>(SUM(Просчет!G176:G225)+Просчет!G11)*1.8</f>
        <v>56321.55</v>
      </c>
      <c r="G193" s="206">
        <v>0</v>
      </c>
      <c r="H193" s="207">
        <f t="shared" si="5"/>
        <v>56321.55</v>
      </c>
    </row>
    <row r="194" spans="1:10" s="65" customFormat="1" ht="15.75" thickBot="1" x14ac:dyDescent="0.3">
      <c r="A194" s="353">
        <f>A192+1</f>
        <v>12</v>
      </c>
      <c r="B194" s="615" t="s">
        <v>280</v>
      </c>
      <c r="C194" s="615"/>
      <c r="D194" s="615"/>
      <c r="E194" s="615"/>
      <c r="F194" s="615"/>
      <c r="G194" s="615"/>
      <c r="H194" s="616"/>
      <c r="J194" s="298"/>
    </row>
    <row r="195" spans="1:10" ht="15.75" thickBot="1" x14ac:dyDescent="0.3">
      <c r="A195" s="292"/>
      <c r="B195" s="236" t="s">
        <v>895</v>
      </c>
      <c r="C195" s="236" t="str">
        <f>_xlfn.TEXTJOIN(", ",,IF(Просчет!B255&gt;0,Просчет!A255,""),IF(Просчет!B256&gt;0,Просчет!A256,""),IF(Просчет!B257&gt;0,Просчет!A257,""),IF(Просчет!B258&gt;0,Просчет!A258,""),IF(Просчет!B259&gt;0,Просчет!A259,""),IF(Просчет!B260&gt;0,Просчет!A260,""),IF(Просчет!B261&gt;0,Просчет!A261,""),IF(Просчет!B262&gt;0,Просчет!A262,""),IF(Просчет!B262&gt;0,Просчет!A262,""),IF(Просчет!B263&gt;0,Просчет!A263,""))</f>
        <v>Обналичка 110 3м</v>
      </c>
      <c r="D195" s="237">
        <f>IF(OR(Просчет!B255&gt;0,Просчет!B256&gt;0,Просчет!B257&gt;0,Просчет!B258&gt;0,Просчет!B259&gt;0,Просчет!B260&gt;0,Просчет!B261&gt;0,Просчет!B262&gt;0,Просчет!B262&gt;0,Просчет!B263&gt;0),1,0)</f>
        <v>1</v>
      </c>
      <c r="E195" s="237" t="s">
        <v>722</v>
      </c>
      <c r="F195" s="276">
        <f>(SUM(Просчет!G255:G263)*1.25)</f>
        <v>2512.5</v>
      </c>
      <c r="G195" s="250">
        <f t="shared" si="4"/>
        <v>1105.5</v>
      </c>
      <c r="H195" s="243">
        <f t="shared" si="5"/>
        <v>3618</v>
      </c>
      <c r="I195" s="65"/>
      <c r="J195" s="298"/>
    </row>
    <row r="196" spans="1:10" s="65" customFormat="1" ht="15.75" thickBot="1" x14ac:dyDescent="0.3">
      <c r="A196" s="353">
        <f>A194+1</f>
        <v>13</v>
      </c>
      <c r="B196" s="615" t="s">
        <v>403</v>
      </c>
      <c r="C196" s="615"/>
      <c r="D196" s="615"/>
      <c r="E196" s="615"/>
      <c r="F196" s="615"/>
      <c r="G196" s="615"/>
      <c r="H196" s="616"/>
      <c r="J196" s="298"/>
    </row>
    <row r="197" spans="1:10" s="4" customFormat="1" x14ac:dyDescent="0.25">
      <c r="A197" s="308"/>
      <c r="B197" s="284" t="s">
        <v>881</v>
      </c>
      <c r="C197" s="238" t="str">
        <f>Просчет!A269</f>
        <v>Полог осина 3,0м (90), Сорт А</v>
      </c>
      <c r="D197" s="240">
        <f>Просчет!B269</f>
        <v>0</v>
      </c>
      <c r="E197" s="240" t="str">
        <f>Просчет!C269</f>
        <v>шт</v>
      </c>
      <c r="F197" s="285">
        <v>263</v>
      </c>
      <c r="G197" s="240">
        <f t="shared" si="4"/>
        <v>115.72000000000001</v>
      </c>
      <c r="H197" s="241">
        <f t="shared" si="5"/>
        <v>0</v>
      </c>
      <c r="J197" s="297"/>
    </row>
    <row r="198" spans="1:10" s="4" customFormat="1" x14ac:dyDescent="0.25">
      <c r="A198" s="308"/>
      <c r="B198" s="281" t="s">
        <v>882</v>
      </c>
      <c r="C198" s="270" t="str">
        <f>Просчет!A270</f>
        <v>ОСА Термофор</v>
      </c>
      <c r="D198" s="208">
        <f>Просчет!B270</f>
        <v>0</v>
      </c>
      <c r="E198" s="208" t="s">
        <v>722</v>
      </c>
      <c r="F198" s="251"/>
      <c r="G198" s="208">
        <f t="shared" si="4"/>
        <v>0</v>
      </c>
      <c r="H198" s="209">
        <f t="shared" si="5"/>
        <v>0</v>
      </c>
      <c r="J198" s="297"/>
    </row>
    <row r="199" spans="1:10" s="4" customFormat="1" x14ac:dyDescent="0.25">
      <c r="A199" s="308"/>
      <c r="B199" s="281" t="s">
        <v>882</v>
      </c>
      <c r="C199" s="270" t="str">
        <f>Просчет!A271</f>
        <v>Печь термофор,10, бак на 55л</v>
      </c>
      <c r="D199" s="208">
        <f>Просчет!B271</f>
        <v>0</v>
      </c>
      <c r="E199" s="208" t="s">
        <v>722</v>
      </c>
      <c r="F199" s="251"/>
      <c r="G199" s="208">
        <f t="shared" si="4"/>
        <v>0</v>
      </c>
      <c r="H199" s="209">
        <f t="shared" si="5"/>
        <v>0</v>
      </c>
      <c r="J199" s="297"/>
    </row>
    <row r="200" spans="1:10" s="4" customFormat="1" x14ac:dyDescent="0.25">
      <c r="A200" s="308"/>
      <c r="B200" s="281" t="s">
        <v>882</v>
      </c>
      <c r="C200" s="270" t="str">
        <f>Просчет!A272</f>
        <v>Печь термофор, 15</v>
      </c>
      <c r="D200" s="208">
        <f>Просчет!B272</f>
        <v>0</v>
      </c>
      <c r="E200" s="208" t="s">
        <v>722</v>
      </c>
      <c r="F200" s="251"/>
      <c r="G200" s="208">
        <f t="shared" si="4"/>
        <v>0</v>
      </c>
      <c r="H200" s="209">
        <f t="shared" si="5"/>
        <v>0</v>
      </c>
      <c r="J200" s="297"/>
    </row>
    <row r="201" spans="1:10" s="4" customFormat="1" x14ac:dyDescent="0.25">
      <c r="A201" s="308"/>
      <c r="B201" s="281" t="s">
        <v>882</v>
      </c>
      <c r="C201" s="270" t="str">
        <f>Просчет!A273</f>
        <v>Печь кирасир,10 в перегородку</v>
      </c>
      <c r="D201" s="208">
        <f>Просчет!B273</f>
        <v>0</v>
      </c>
      <c r="E201" s="208" t="s">
        <v>722</v>
      </c>
      <c r="F201" s="251"/>
      <c r="G201" s="208">
        <f t="shared" si="4"/>
        <v>0</v>
      </c>
      <c r="H201" s="209">
        <f t="shared" si="5"/>
        <v>0</v>
      </c>
      <c r="J201" s="297"/>
    </row>
    <row r="202" spans="1:10" s="4" customFormat="1" x14ac:dyDescent="0.25">
      <c r="A202" s="308"/>
      <c r="B202" s="281" t="s">
        <v>882</v>
      </c>
      <c r="C202" s="270" t="str">
        <f>Просчет!A274</f>
        <v>Кирасир 15</v>
      </c>
      <c r="D202" s="208">
        <f>Просчет!B274</f>
        <v>0</v>
      </c>
      <c r="E202" s="208" t="s">
        <v>722</v>
      </c>
      <c r="F202" s="251"/>
      <c r="G202" s="208">
        <f t="shared" si="4"/>
        <v>0</v>
      </c>
      <c r="H202" s="209">
        <f t="shared" si="5"/>
        <v>0</v>
      </c>
      <c r="J202" s="297"/>
    </row>
    <row r="203" spans="1:10" s="4" customFormat="1" x14ac:dyDescent="0.25">
      <c r="A203" s="308"/>
      <c r="B203" s="281" t="s">
        <v>882</v>
      </c>
      <c r="C203" s="270" t="str">
        <f>Просчет!A275</f>
        <v>Печь кирасир,15, интро</v>
      </c>
      <c r="D203" s="208">
        <f>Просчет!B275</f>
        <v>0</v>
      </c>
      <c r="E203" s="208" t="s">
        <v>722</v>
      </c>
      <c r="F203" s="251"/>
      <c r="G203" s="208">
        <f t="shared" si="4"/>
        <v>0</v>
      </c>
      <c r="H203" s="209">
        <f t="shared" si="5"/>
        <v>0</v>
      </c>
      <c r="J203" s="297"/>
    </row>
    <row r="204" spans="1:10" s="4" customFormat="1" x14ac:dyDescent="0.25">
      <c r="A204" s="308"/>
      <c r="B204" s="281" t="s">
        <v>882</v>
      </c>
      <c r="C204" s="270" t="str">
        <f>Просчет!A281</f>
        <v>Печь отопительная</v>
      </c>
      <c r="D204" s="208">
        <f>Просчет!B281</f>
        <v>0</v>
      </c>
      <c r="E204" s="208" t="s">
        <v>722</v>
      </c>
      <c r="F204" s="251"/>
      <c r="G204" s="208">
        <f t="shared" si="4"/>
        <v>0</v>
      </c>
      <c r="H204" s="209">
        <f t="shared" si="5"/>
        <v>0</v>
      </c>
      <c r="J204" s="297"/>
    </row>
    <row r="205" spans="1:10" s="4" customFormat="1" x14ac:dyDescent="0.25">
      <c r="A205" s="308"/>
      <c r="B205" s="281" t="s">
        <v>882</v>
      </c>
      <c r="C205" s="261" t="s">
        <v>883</v>
      </c>
      <c r="D205" s="256">
        <v>0</v>
      </c>
      <c r="E205" s="256" t="s">
        <v>722</v>
      </c>
      <c r="F205" s="255">
        <v>0</v>
      </c>
      <c r="G205" s="208">
        <f t="shared" si="4"/>
        <v>0</v>
      </c>
      <c r="H205" s="209">
        <f t="shared" si="5"/>
        <v>0</v>
      </c>
      <c r="J205" s="297"/>
    </row>
    <row r="206" spans="1:10" s="4" customFormat="1" ht="15.75" thickBot="1" x14ac:dyDescent="0.3">
      <c r="A206" s="308"/>
      <c r="B206" s="282" t="str">
        <f>Просчет!A289</f>
        <v xml:space="preserve">Отвод воды за пределы бани </v>
      </c>
      <c r="C206" s="272"/>
      <c r="D206" s="226">
        <f>Просчет!B289</f>
        <v>0</v>
      </c>
      <c r="E206" s="226" t="s">
        <v>722</v>
      </c>
      <c r="F206" s="239">
        <v>2600</v>
      </c>
      <c r="G206" s="226">
        <f t="shared" si="4"/>
        <v>1144</v>
      </c>
      <c r="H206" s="235">
        <f t="shared" si="5"/>
        <v>0</v>
      </c>
      <c r="J206" s="297"/>
    </row>
    <row r="207" spans="1:10" s="65" customFormat="1" ht="15.75" thickBot="1" x14ac:dyDescent="0.3">
      <c r="A207" s="353">
        <f>A196+1</f>
        <v>14</v>
      </c>
      <c r="B207" s="612" t="s">
        <v>828</v>
      </c>
      <c r="C207" s="613"/>
      <c r="D207" s="613"/>
      <c r="E207" s="613"/>
      <c r="F207" s="613"/>
      <c r="G207" s="613"/>
      <c r="H207" s="614"/>
      <c r="J207" s="298"/>
    </row>
    <row r="208" spans="1:10" s="4" customFormat="1" ht="15.75" thickBot="1" x14ac:dyDescent="0.3">
      <c r="A208" s="308"/>
      <c r="B208" s="245"/>
      <c r="C208" s="245">
        <f>Просчет!H137</f>
        <v>0</v>
      </c>
      <c r="D208" s="264">
        <f>IF(C208&gt;0,1,0)</f>
        <v>0</v>
      </c>
      <c r="E208" s="264" t="s">
        <v>722</v>
      </c>
      <c r="F208" s="263"/>
      <c r="G208" s="264">
        <f t="shared" ref="G208" si="6">F208/1.25*0.55</f>
        <v>0</v>
      </c>
      <c r="H208" s="265">
        <f t="shared" ref="H208" si="7">(F208+G208)*D208</f>
        <v>0</v>
      </c>
      <c r="J208" s="297"/>
    </row>
    <row r="209" spans="1:10" s="65" customFormat="1" ht="15.75" thickBot="1" x14ac:dyDescent="0.3">
      <c r="A209" s="353">
        <f>A207+1</f>
        <v>15</v>
      </c>
      <c r="B209" s="615" t="s">
        <v>896</v>
      </c>
      <c r="C209" s="615"/>
      <c r="D209" s="615"/>
      <c r="E209" s="615"/>
      <c r="F209" s="615"/>
      <c r="G209" s="615"/>
      <c r="H209" s="616"/>
      <c r="J209" s="298"/>
    </row>
    <row r="210" spans="1:10" s="4" customFormat="1" x14ac:dyDescent="0.25">
      <c r="A210" s="292"/>
      <c r="B210" s="271"/>
      <c r="C210" s="271" t="str">
        <f>Просчет!A291</f>
        <v>25*100*6 2-й сорт</v>
      </c>
      <c r="D210" s="206">
        <f>Просчет!B291</f>
        <v>0</v>
      </c>
      <c r="E210" s="206" t="str">
        <f>Просчет!C291</f>
        <v>шт</v>
      </c>
      <c r="F210" s="254"/>
      <c r="G210" s="206">
        <f>F210/1.25*0.55</f>
        <v>0</v>
      </c>
      <c r="H210" s="207">
        <f>(F210+G210)*D210</f>
        <v>0</v>
      </c>
      <c r="J210" s="297"/>
    </row>
    <row r="211" spans="1:10" s="4" customFormat="1" x14ac:dyDescent="0.25">
      <c r="A211" s="308"/>
      <c r="B211" s="270"/>
      <c r="C211" s="270" t="str">
        <f>Просчет!A292</f>
        <v>50*100*6 2-й сорт</v>
      </c>
      <c r="D211" s="208">
        <f>Просчет!B292</f>
        <v>0</v>
      </c>
      <c r="E211" s="208" t="str">
        <f>Просчет!C292</f>
        <v>шт</v>
      </c>
      <c r="F211" s="251"/>
      <c r="G211" s="208">
        <f>F211/1.25*0.55</f>
        <v>0</v>
      </c>
      <c r="H211" s="209">
        <f t="shared" ref="H211:H218" si="8">(F211+G211)*D211</f>
        <v>0</v>
      </c>
      <c r="J211" s="297"/>
    </row>
    <row r="212" spans="1:10" s="4" customFormat="1" x14ac:dyDescent="0.25">
      <c r="A212" s="308"/>
      <c r="B212" s="270"/>
      <c r="C212" s="270" t="str">
        <f>Просчет!A293</f>
        <v>50*150*6 2-й сорт</v>
      </c>
      <c r="D212" s="208">
        <f>Просчет!B293</f>
        <v>0</v>
      </c>
      <c r="E212" s="208" t="str">
        <f>Просчет!C293</f>
        <v>шт</v>
      </c>
      <c r="F212" s="251"/>
      <c r="G212" s="208">
        <f t="shared" ref="G212:G218" si="9">F212/1.25*0.55</f>
        <v>0</v>
      </c>
      <c r="H212" s="209">
        <f t="shared" si="8"/>
        <v>0</v>
      </c>
      <c r="J212" s="297"/>
    </row>
    <row r="213" spans="1:10" s="4" customFormat="1" x14ac:dyDescent="0.25">
      <c r="A213" s="308"/>
      <c r="B213" s="270"/>
      <c r="C213" s="270">
        <f>Просчет!A294</f>
        <v>0</v>
      </c>
      <c r="D213" s="208">
        <f>Просчет!B294</f>
        <v>0</v>
      </c>
      <c r="E213" s="208">
        <f>Просчет!C294</f>
        <v>0</v>
      </c>
      <c r="F213" s="251"/>
      <c r="G213" s="208">
        <f t="shared" si="9"/>
        <v>0</v>
      </c>
      <c r="H213" s="209">
        <f t="shared" si="8"/>
        <v>0</v>
      </c>
      <c r="J213" s="297"/>
    </row>
    <row r="214" spans="1:10" s="4" customFormat="1" x14ac:dyDescent="0.25">
      <c r="A214" s="308"/>
      <c r="B214" s="270"/>
      <c r="C214" s="270">
        <f>Просчет!A295</f>
        <v>0</v>
      </c>
      <c r="D214" s="208">
        <f>Просчет!B295</f>
        <v>0</v>
      </c>
      <c r="E214" s="208">
        <f>Просчет!C295</f>
        <v>0</v>
      </c>
      <c r="F214" s="251"/>
      <c r="G214" s="208">
        <f t="shared" si="9"/>
        <v>0</v>
      </c>
      <c r="H214" s="209">
        <f t="shared" si="8"/>
        <v>0</v>
      </c>
      <c r="J214" s="297"/>
    </row>
    <row r="215" spans="1:10" s="4" customFormat="1" x14ac:dyDescent="0.25">
      <c r="A215" s="308"/>
      <c r="B215" s="270"/>
      <c r="C215" s="270">
        <f>Просчет!A296</f>
        <v>0</v>
      </c>
      <c r="D215" s="208">
        <f>Просчет!B296</f>
        <v>0</v>
      </c>
      <c r="E215" s="208">
        <f>Просчет!C296</f>
        <v>0</v>
      </c>
      <c r="F215" s="251"/>
      <c r="G215" s="208">
        <f t="shared" si="9"/>
        <v>0</v>
      </c>
      <c r="H215" s="209">
        <f t="shared" si="8"/>
        <v>0</v>
      </c>
      <c r="J215" s="297"/>
    </row>
    <row r="216" spans="1:10" s="4" customFormat="1" x14ac:dyDescent="0.25">
      <c r="A216" s="308"/>
      <c r="B216" s="270"/>
      <c r="C216" s="270">
        <f>Просчет!A297</f>
        <v>0</v>
      </c>
      <c r="D216" s="208">
        <f>Просчет!B297</f>
        <v>0</v>
      </c>
      <c r="E216" s="208">
        <f>Просчет!C297</f>
        <v>0</v>
      </c>
      <c r="F216" s="251"/>
      <c r="G216" s="208">
        <f t="shared" si="9"/>
        <v>0</v>
      </c>
      <c r="H216" s="209">
        <f t="shared" si="8"/>
        <v>0</v>
      </c>
      <c r="J216" s="297"/>
    </row>
    <row r="217" spans="1:10" s="4" customFormat="1" x14ac:dyDescent="0.25">
      <c r="A217" s="308"/>
      <c r="B217" s="270"/>
      <c r="C217" s="270">
        <f>Просчет!A298</f>
        <v>0</v>
      </c>
      <c r="D217" s="208">
        <f>Просчет!B298</f>
        <v>0</v>
      </c>
      <c r="E217" s="208">
        <f>Просчет!C298</f>
        <v>0</v>
      </c>
      <c r="F217" s="251"/>
      <c r="G217" s="208">
        <f t="shared" si="9"/>
        <v>0</v>
      </c>
      <c r="H217" s="209">
        <f t="shared" si="8"/>
        <v>0</v>
      </c>
      <c r="J217" s="297"/>
    </row>
    <row r="218" spans="1:10" s="4" customFormat="1" ht="15.75" thickBot="1" x14ac:dyDescent="0.3">
      <c r="A218" s="310"/>
      <c r="B218" s="273"/>
      <c r="C218" s="273">
        <f>Просчет!A299</f>
        <v>0</v>
      </c>
      <c r="D218" s="210">
        <f>Просчет!B299</f>
        <v>0</v>
      </c>
      <c r="E218" s="210">
        <f>Просчет!C299</f>
        <v>0</v>
      </c>
      <c r="F218" s="268"/>
      <c r="G218" s="210">
        <f t="shared" si="9"/>
        <v>0</v>
      </c>
      <c r="H218" s="211">
        <f t="shared" si="8"/>
        <v>0</v>
      </c>
      <c r="J218" s="297"/>
    </row>
    <row r="219" spans="1:10" s="65" customFormat="1" ht="15.75" thickBot="1" x14ac:dyDescent="0.3">
      <c r="A219" s="353">
        <f>A209+1</f>
        <v>16</v>
      </c>
      <c r="B219" s="615" t="s">
        <v>824</v>
      </c>
      <c r="C219" s="615"/>
      <c r="D219" s="615"/>
      <c r="E219" s="615"/>
      <c r="F219" s="615"/>
      <c r="G219" s="615"/>
      <c r="H219" s="616"/>
      <c r="J219" s="298"/>
    </row>
    <row r="220" spans="1:10" x14ac:dyDescent="0.25">
      <c r="A220" s="357"/>
      <c r="B220" s="293" t="s">
        <v>825</v>
      </c>
      <c r="C220" s="287"/>
      <c r="D220" s="340">
        <v>1</v>
      </c>
      <c r="E220" s="288" t="s">
        <v>722</v>
      </c>
      <c r="F220" s="285">
        <v>0</v>
      </c>
      <c r="G220" s="286">
        <v>50000</v>
      </c>
      <c r="H220" s="241">
        <f>(G220+F220)*D220</f>
        <v>50000</v>
      </c>
    </row>
    <row r="221" spans="1:10" ht="30" x14ac:dyDescent="0.25">
      <c r="A221" s="357"/>
      <c r="B221" s="294" t="s">
        <v>826</v>
      </c>
      <c r="C221" s="269"/>
      <c r="D221" s="341">
        <v>1</v>
      </c>
      <c r="E221" s="267" t="s">
        <v>722</v>
      </c>
      <c r="F221" s="225">
        <v>0</v>
      </c>
      <c r="G221" s="251">
        <v>17000</v>
      </c>
      <c r="H221" s="209">
        <f t="shared" ref="H221:H225" si="10">(G221+F221)*D221</f>
        <v>17000</v>
      </c>
    </row>
    <row r="222" spans="1:10" x14ac:dyDescent="0.25">
      <c r="A222" s="357"/>
      <c r="B222" s="294" t="s">
        <v>434</v>
      </c>
      <c r="C222" s="269"/>
      <c r="D222" s="341">
        <v>1</v>
      </c>
      <c r="E222" s="267" t="s">
        <v>722</v>
      </c>
      <c r="F222" s="225">
        <v>0</v>
      </c>
      <c r="G222" s="251">
        <v>15000</v>
      </c>
      <c r="H222" s="209">
        <f t="shared" si="10"/>
        <v>15000</v>
      </c>
    </row>
    <row r="223" spans="1:10" ht="15.75" thickBot="1" x14ac:dyDescent="0.3">
      <c r="A223" s="357"/>
      <c r="B223" s="295" t="s">
        <v>827</v>
      </c>
      <c r="C223" s="289"/>
      <c r="D223" s="342">
        <v>1</v>
      </c>
      <c r="E223" s="290" t="s">
        <v>722</v>
      </c>
      <c r="F223" s="239">
        <v>0</v>
      </c>
      <c r="G223" s="291">
        <v>15000</v>
      </c>
      <c r="H223" s="235">
        <f t="shared" si="10"/>
        <v>15000</v>
      </c>
    </row>
    <row r="224" spans="1:10" s="65" customFormat="1" ht="15.75" thickBot="1" x14ac:dyDescent="0.3">
      <c r="A224" s="359">
        <f>A219+1</f>
        <v>17</v>
      </c>
      <c r="B224" s="610" t="s">
        <v>6</v>
      </c>
      <c r="C224" s="610"/>
      <c r="D224" s="610"/>
      <c r="E224" s="610"/>
      <c r="F224" s="610"/>
      <c r="G224" s="610"/>
      <c r="H224" s="611"/>
      <c r="J224" s="298"/>
    </row>
    <row r="225" spans="1:8" ht="15.75" thickBot="1" x14ac:dyDescent="0.3">
      <c r="A225" s="362"/>
      <c r="B225" s="319" t="s">
        <v>6</v>
      </c>
      <c r="C225" s="247"/>
      <c r="D225" s="248">
        <v>1</v>
      </c>
      <c r="E225" s="230" t="s">
        <v>722</v>
      </c>
      <c r="F225" s="266">
        <v>0</v>
      </c>
      <c r="G225" s="248">
        <v>39000</v>
      </c>
      <c r="H225" s="296">
        <f t="shared" si="10"/>
        <v>39000</v>
      </c>
    </row>
    <row r="226" spans="1:8" ht="15.75" thickBot="1" x14ac:dyDescent="0.3">
      <c r="A226" s="311"/>
      <c r="B226" s="302" t="s">
        <v>829</v>
      </c>
      <c r="C226" s="96"/>
      <c r="D226" s="244"/>
      <c r="E226" s="244"/>
      <c r="F226" s="244"/>
      <c r="G226" s="244"/>
      <c r="H226" s="303">
        <f>SUM(H18:H225)</f>
        <v>722264.01399999997</v>
      </c>
    </row>
    <row r="228" spans="1:8" x14ac:dyDescent="0.25">
      <c r="B228" s="192"/>
    </row>
    <row r="230" spans="1:8" x14ac:dyDescent="0.25">
      <c r="B230" s="192"/>
      <c r="C230" s="96"/>
      <c r="D230" s="244"/>
    </row>
    <row r="231" spans="1:8" x14ac:dyDescent="0.25">
      <c r="B231" s="192"/>
      <c r="C231" s="96"/>
      <c r="D231" s="244"/>
    </row>
    <row r="232" spans="1:8" x14ac:dyDescent="0.25">
      <c r="B232" s="192"/>
      <c r="C232" s="96"/>
      <c r="D232" s="244"/>
    </row>
    <row r="233" spans="1:8" x14ac:dyDescent="0.25">
      <c r="B233" s="192"/>
      <c r="C233" s="96"/>
      <c r="D233" s="244"/>
    </row>
    <row r="234" spans="1:8" x14ac:dyDescent="0.25">
      <c r="B234" s="192"/>
      <c r="C234" s="96"/>
      <c r="D234" s="244"/>
    </row>
    <row r="235" spans="1:8" x14ac:dyDescent="0.25">
      <c r="B235" s="192"/>
      <c r="C235" s="96"/>
      <c r="D235" s="244"/>
    </row>
  </sheetData>
  <autoFilter ref="A16:H226" xr:uid="{00000000-0009-0000-0000-000005000000}"/>
  <mergeCells count="22">
    <mergeCell ref="B17:H17"/>
    <mergeCell ref="B23:H23"/>
    <mergeCell ref="B79:H79"/>
    <mergeCell ref="B93:H93"/>
    <mergeCell ref="A6:H6"/>
    <mergeCell ref="A7:H7"/>
    <mergeCell ref="A12:H12"/>
    <mergeCell ref="A9:H9"/>
    <mergeCell ref="A10:H10"/>
    <mergeCell ref="B102:H102"/>
    <mergeCell ref="B107:H107"/>
    <mergeCell ref="B138:H138"/>
    <mergeCell ref="B170:H170"/>
    <mergeCell ref="B172:H172"/>
    <mergeCell ref="B190:H190"/>
    <mergeCell ref="B219:H219"/>
    <mergeCell ref="B224:H224"/>
    <mergeCell ref="B192:H192"/>
    <mergeCell ref="B194:H194"/>
    <mergeCell ref="B196:H196"/>
    <mergeCell ref="B207:H207"/>
    <mergeCell ref="B209:H209"/>
  </mergeCells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M222"/>
  <sheetViews>
    <sheetView zoomScaleNormal="100" workbookViewId="0">
      <selection sqref="A1:H1"/>
    </sheetView>
  </sheetViews>
  <sheetFormatPr defaultColWidth="8.85546875" defaultRowHeight="15" x14ac:dyDescent="0.25"/>
  <cols>
    <col min="1" max="1" width="4.5703125" style="304" customWidth="1"/>
    <col min="2" max="2" width="34.28515625" style="110" customWidth="1"/>
    <col min="3" max="3" width="34.7109375" style="52" customWidth="1"/>
    <col min="4" max="4" width="13.7109375" style="253" customWidth="1"/>
    <col min="5" max="5" width="8.85546875" style="253"/>
    <col min="6" max="6" width="13.28515625" style="253" customWidth="1"/>
    <col min="7" max="7" width="13.42578125" style="253" customWidth="1"/>
    <col min="8" max="8" width="13.28515625" style="253" customWidth="1"/>
    <col min="9" max="9" width="8.85546875" style="4"/>
    <col min="10" max="10" width="26.42578125" style="297" customWidth="1"/>
    <col min="11" max="16384" width="8.85546875" style="4"/>
  </cols>
  <sheetData>
    <row r="1" spans="1:10" x14ac:dyDescent="0.25">
      <c r="A1" s="617" t="s">
        <v>890</v>
      </c>
      <c r="B1" s="617"/>
      <c r="C1" s="617"/>
      <c r="D1" s="618"/>
      <c r="E1" s="618"/>
      <c r="F1" s="618"/>
      <c r="G1" s="618"/>
      <c r="H1" s="618"/>
    </row>
    <row r="2" spans="1:10" thickBot="1" x14ac:dyDescent="0.35"/>
    <row r="3" spans="1:10" ht="45.75" thickBot="1" x14ac:dyDescent="0.3">
      <c r="A3" s="352" t="s">
        <v>715</v>
      </c>
      <c r="B3" s="354" t="s">
        <v>716</v>
      </c>
      <c r="C3" s="353" t="s">
        <v>717</v>
      </c>
      <c r="D3" s="360" t="s">
        <v>407</v>
      </c>
      <c r="E3" s="360" t="s">
        <v>415</v>
      </c>
      <c r="F3" s="361" t="s">
        <v>718</v>
      </c>
      <c r="G3" s="361" t="s">
        <v>719</v>
      </c>
      <c r="H3" s="360" t="s">
        <v>720</v>
      </c>
    </row>
    <row r="4" spans="1:10" s="65" customFormat="1" ht="15.75" thickBot="1" x14ac:dyDescent="0.3">
      <c r="A4" s="353">
        <v>1</v>
      </c>
      <c r="B4" s="615" t="s">
        <v>721</v>
      </c>
      <c r="C4" s="615"/>
      <c r="D4" s="626"/>
      <c r="E4" s="626"/>
      <c r="F4" s="626"/>
      <c r="G4" s="626"/>
      <c r="H4" s="627"/>
      <c r="J4" s="298"/>
    </row>
    <row r="5" spans="1:10" ht="14.45" hidden="1" x14ac:dyDescent="0.3">
      <c r="A5" s="305"/>
      <c r="B5" s="271" t="str">
        <f>'Смета в налоговую'!B18</f>
        <v>Устройство фундамента</v>
      </c>
      <c r="C5" s="271">
        <f>'Смета в налоговую'!C18</f>
        <v>0</v>
      </c>
      <c r="D5" s="271">
        <f>'Смета в налоговую'!D18</f>
        <v>0</v>
      </c>
      <c r="E5" s="271" t="str">
        <f>'Смета в налоговую'!E18</f>
        <v>компл.</v>
      </c>
      <c r="F5" s="271">
        <f>'Смета в налоговую'!F18</f>
        <v>0</v>
      </c>
      <c r="G5" s="271">
        <f>'Смета в налоговую'!G18</f>
        <v>0</v>
      </c>
      <c r="H5" s="313">
        <f>'Смета в налоговую'!H18</f>
        <v>0</v>
      </c>
    </row>
    <row r="6" spans="1:10" ht="14.45" hidden="1" x14ac:dyDescent="0.3">
      <c r="A6" s="306"/>
      <c r="B6" s="270" t="str">
        <f>'Смета в налоговую'!B19</f>
        <v>Устройство сетки от грызунов</v>
      </c>
      <c r="C6" s="270" t="str">
        <f>'Смета в налоговую'!C19</f>
        <v>Сетка от грызунов 1*10м</v>
      </c>
      <c r="D6" s="270">
        <f>'Смета в налоговую'!D19</f>
        <v>0</v>
      </c>
      <c r="E6" s="270" t="str">
        <f>'Смета в налоговую'!E19</f>
        <v>компл.</v>
      </c>
      <c r="F6" s="270">
        <f>'Смета в налоговую'!F19</f>
        <v>219</v>
      </c>
      <c r="G6" s="270">
        <f>'Смета в налоговую'!G19</f>
        <v>96.36</v>
      </c>
      <c r="H6" s="314">
        <f>'Смета в налоговую'!H19</f>
        <v>0</v>
      </c>
    </row>
    <row r="7" spans="1:10" ht="14.45" hidden="1" x14ac:dyDescent="0.3">
      <c r="A7" s="306"/>
      <c r="B7" s="270" t="str">
        <f>'Смета в налоговую'!B20</f>
        <v>Геология</v>
      </c>
      <c r="C7" s="270">
        <f>'Смета в налоговую'!C20</f>
        <v>0</v>
      </c>
      <c r="D7" s="270">
        <f>'Смета в налоговую'!D20</f>
        <v>0</v>
      </c>
      <c r="E7" s="270" t="str">
        <f>'Смета в налоговую'!E20</f>
        <v>компл.</v>
      </c>
      <c r="F7" s="270">
        <f>'Смета в налоговую'!F20</f>
        <v>0</v>
      </c>
      <c r="G7" s="270">
        <f>'Смета в налоговую'!G20</f>
        <v>0</v>
      </c>
      <c r="H7" s="314">
        <f>'Смета в налоговую'!H20</f>
        <v>0</v>
      </c>
    </row>
    <row r="8" spans="1:10" ht="14.45" hidden="1" x14ac:dyDescent="0.3">
      <c r="A8" s="306"/>
      <c r="B8" s="270" t="str">
        <f>'Смета в налоговую'!B21</f>
        <v>Устройство цоколя</v>
      </c>
      <c r="C8" s="270" t="str">
        <f>'Смета в налоговую'!C21</f>
        <v>Материал предоставляет Заказчик</v>
      </c>
      <c r="D8" s="270">
        <f>'Смета в налоговую'!D21</f>
        <v>0</v>
      </c>
      <c r="E8" s="270" t="str">
        <f>'Смета в налоговую'!E21</f>
        <v>компл.</v>
      </c>
      <c r="F8" s="270">
        <f>'Смета в налоговую'!F21</f>
        <v>0</v>
      </c>
      <c r="G8" s="270">
        <f>'Смета в налоговую'!G21</f>
        <v>0</v>
      </c>
      <c r="H8" s="314">
        <f>'Смета в налоговую'!H21</f>
        <v>0</v>
      </c>
    </row>
    <row r="9" spans="1:10" ht="29.45" hidden="1" thickBot="1" x14ac:dyDescent="0.35">
      <c r="A9" s="307"/>
      <c r="B9" s="273" t="str">
        <f>'Смета в налоговую'!B22</f>
        <v>Устройство цоколя</v>
      </c>
      <c r="C9" s="273" t="str">
        <f>'Смета в налоговую'!C22</f>
        <v>HAUBERK ТЕХНОНИКОЛЬ Терракотовый кирпич</v>
      </c>
      <c r="D9" s="273">
        <f>'Смета в налоговую'!D22</f>
        <v>0</v>
      </c>
      <c r="E9" s="273" t="str">
        <f>'Смета в налоговую'!E22</f>
        <v>м2</v>
      </c>
      <c r="F9" s="273">
        <f>'Смета в налоговую'!F22</f>
        <v>0</v>
      </c>
      <c r="G9" s="273">
        <f>'Смета в налоговую'!G22</f>
        <v>0</v>
      </c>
      <c r="H9" s="315">
        <f>'Смета в налоговую'!H22</f>
        <v>0</v>
      </c>
    </row>
    <row r="10" spans="1:10" s="65" customFormat="1" ht="15.75" thickBot="1" x14ac:dyDescent="0.3">
      <c r="A10" s="353">
        <f>A4+1</f>
        <v>2</v>
      </c>
      <c r="B10" s="615" t="s">
        <v>724</v>
      </c>
      <c r="C10" s="615"/>
      <c r="D10" s="626"/>
      <c r="E10" s="626"/>
      <c r="F10" s="626"/>
      <c r="G10" s="626"/>
      <c r="H10" s="627"/>
      <c r="J10" s="298"/>
    </row>
    <row r="11" spans="1:10" ht="14.45" hidden="1" customHeight="1" x14ac:dyDescent="0.35">
      <c r="A11" s="321"/>
      <c r="B11" s="316" t="str">
        <f>'Смета в налоговую'!B24</f>
        <v/>
      </c>
      <c r="C11" s="316" t="str">
        <f>'Смета в налоговую'!C24</f>
        <v>Брус 25х50 мм</v>
      </c>
      <c r="D11" s="316">
        <f>'Смета в налоговую'!D24</f>
        <v>0</v>
      </c>
      <c r="E11" s="316" t="str">
        <f>'Смета в налоговую'!E24</f>
        <v>м3</v>
      </c>
      <c r="F11" s="316">
        <f>'Смета в налоговую'!F24</f>
        <v>11500</v>
      </c>
      <c r="G11" s="316">
        <f>'Смета в налоговую'!G24</f>
        <v>5060</v>
      </c>
      <c r="H11" s="317">
        <f>'Смета в налоговую'!H24</f>
        <v>0</v>
      </c>
    </row>
    <row r="12" spans="1:10" hidden="1" thickBot="1" x14ac:dyDescent="0.35">
      <c r="A12" s="322"/>
      <c r="B12" s="284" t="str">
        <f>'Смета в налоговую'!B25</f>
        <v/>
      </c>
      <c r="C12" s="284" t="str">
        <f>'Смета в налоговую'!C25</f>
        <v>Брус 25х100 мм</v>
      </c>
      <c r="D12" s="284">
        <f>'Смета в налоговую'!D25</f>
        <v>0</v>
      </c>
      <c r="E12" s="284" t="str">
        <f>'Смета в налоговую'!E25</f>
        <v>м3</v>
      </c>
      <c r="F12" s="284">
        <f>'Смета в налоговую'!F25</f>
        <v>11500</v>
      </c>
      <c r="G12" s="284">
        <f>'Смета в налоговую'!G25</f>
        <v>5060</v>
      </c>
      <c r="H12" s="318">
        <f>'Смета в налоговую'!H25</f>
        <v>0</v>
      </c>
    </row>
    <row r="13" spans="1:10" hidden="1" thickBot="1" x14ac:dyDescent="0.35">
      <c r="A13" s="322"/>
      <c r="B13" s="284" t="str">
        <f>'Смета в налоговую'!B26</f>
        <v/>
      </c>
      <c r="C13" s="284" t="str">
        <f>'Смета в налоговую'!C26</f>
        <v>Брус 2-го сорта 25х100 мм</v>
      </c>
      <c r="D13" s="284">
        <f>'Смета в налоговую'!D26</f>
        <v>0</v>
      </c>
      <c r="E13" s="284" t="str">
        <f>'Смета в налоговую'!E26</f>
        <v>м3</v>
      </c>
      <c r="F13" s="284">
        <f>'Смета в налоговую'!F26</f>
        <v>7125</v>
      </c>
      <c r="G13" s="284">
        <f>'Смета в налоговую'!G26</f>
        <v>3135.0000000000005</v>
      </c>
      <c r="H13" s="318">
        <f>'Смета в налоговую'!H26</f>
        <v>0</v>
      </c>
    </row>
    <row r="14" spans="1:10" hidden="1" thickBot="1" x14ac:dyDescent="0.35">
      <c r="A14" s="322"/>
      <c r="B14" s="284" t="str">
        <f>'Смета в налоговую'!B27</f>
        <v/>
      </c>
      <c r="C14" s="284" t="str">
        <f>'Смета в налоговую'!C27</f>
        <v>Брус 25х150 мм</v>
      </c>
      <c r="D14" s="284">
        <f>'Смета в налоговую'!D27</f>
        <v>0</v>
      </c>
      <c r="E14" s="284" t="str">
        <f>'Смета в налоговую'!E27</f>
        <v>м3</v>
      </c>
      <c r="F14" s="284">
        <f>'Смета в налоговую'!F27</f>
        <v>11500</v>
      </c>
      <c r="G14" s="284">
        <f>'Смета в налоговую'!G27</f>
        <v>5060</v>
      </c>
      <c r="H14" s="318">
        <f>'Смета в налоговую'!H27</f>
        <v>0</v>
      </c>
    </row>
    <row r="15" spans="1:10" hidden="1" thickBot="1" x14ac:dyDescent="0.35">
      <c r="A15" s="322"/>
      <c r="B15" s="284" t="str">
        <f>'Смета в налоговую'!B28</f>
        <v/>
      </c>
      <c r="C15" s="284" t="str">
        <f>'Смета в налоговую'!C28</f>
        <v>Брус 25х200 мм</v>
      </c>
      <c r="D15" s="284">
        <f>'Смета в налоговую'!D28</f>
        <v>0</v>
      </c>
      <c r="E15" s="284" t="str">
        <f>'Смета в налоговую'!E28</f>
        <v>м3</v>
      </c>
      <c r="F15" s="284">
        <f>'Смета в налоговую'!F28</f>
        <v>11500</v>
      </c>
      <c r="G15" s="284">
        <f>'Смета в налоговую'!G28</f>
        <v>5060</v>
      </c>
      <c r="H15" s="318">
        <f>'Смета в налоговую'!H28</f>
        <v>0</v>
      </c>
    </row>
    <row r="16" spans="1:10" hidden="1" thickBot="1" x14ac:dyDescent="0.35">
      <c r="A16" s="322"/>
      <c r="B16" s="284" t="str">
        <f>'Смета в налоговую'!B29</f>
        <v/>
      </c>
      <c r="C16" s="284" t="str">
        <f>'Смета в налоговую'!C29</f>
        <v>Брус 40х50 мм</v>
      </c>
      <c r="D16" s="284">
        <f>'Смета в налоговую'!D29</f>
        <v>0</v>
      </c>
      <c r="E16" s="284" t="str">
        <f>'Смета в налоговую'!E29</f>
        <v>м3</v>
      </c>
      <c r="F16" s="284">
        <f>'Смета в налоговую'!F29</f>
        <v>11500</v>
      </c>
      <c r="G16" s="284">
        <f>'Смета в налоговую'!G29</f>
        <v>5060</v>
      </c>
      <c r="H16" s="318">
        <f>'Смета в налоговую'!H29</f>
        <v>0</v>
      </c>
    </row>
    <row r="17" spans="1:8" hidden="1" thickBot="1" x14ac:dyDescent="0.35">
      <c r="A17" s="322"/>
      <c r="B17" s="284" t="str">
        <f>'Смета в налоговую'!B30</f>
        <v/>
      </c>
      <c r="C17" s="284" t="str">
        <f>'Смета в налоговую'!C30</f>
        <v>Брус 50х50 мм</v>
      </c>
      <c r="D17" s="284">
        <f>'Смета в налоговую'!D30</f>
        <v>0</v>
      </c>
      <c r="E17" s="284" t="str">
        <f>'Смета в налоговую'!E30</f>
        <v>м3</v>
      </c>
      <c r="F17" s="284">
        <f>'Смета в налоговую'!F30</f>
        <v>11500</v>
      </c>
      <c r="G17" s="284">
        <f>'Смета в налоговую'!G30</f>
        <v>5060</v>
      </c>
      <c r="H17" s="318">
        <f>'Смета в налоговую'!H30</f>
        <v>0</v>
      </c>
    </row>
    <row r="18" spans="1:8" hidden="1" thickBot="1" x14ac:dyDescent="0.35">
      <c r="A18" s="322"/>
      <c r="B18" s="284" t="str">
        <f>'Смета в налоговую'!B31</f>
        <v/>
      </c>
      <c r="C18" s="284" t="str">
        <f>'Смета в налоговую'!C31</f>
        <v>Брус 50х100 мм</v>
      </c>
      <c r="D18" s="284">
        <f>'Смета в налоговую'!D31</f>
        <v>0</v>
      </c>
      <c r="E18" s="284" t="str">
        <f>'Смета в налоговую'!E31</f>
        <v>м3</v>
      </c>
      <c r="F18" s="284">
        <f>'Смета в налоговую'!F31</f>
        <v>11500</v>
      </c>
      <c r="G18" s="284">
        <f>'Смета в налоговую'!G31</f>
        <v>5060</v>
      </c>
      <c r="H18" s="318">
        <f>'Смета в налоговую'!H31</f>
        <v>0</v>
      </c>
    </row>
    <row r="19" spans="1:8" hidden="1" thickBot="1" x14ac:dyDescent="0.35">
      <c r="A19" s="322"/>
      <c r="B19" s="284" t="str">
        <f>'Смета в налоговую'!B32</f>
        <v/>
      </c>
      <c r="C19" s="284" t="str">
        <f>'Смета в налоговую'!C32</f>
        <v>Брус 50х150 мм</v>
      </c>
      <c r="D19" s="284">
        <f>'Смета в налоговую'!D32</f>
        <v>0</v>
      </c>
      <c r="E19" s="284" t="str">
        <f>'Смета в налоговую'!E32</f>
        <v>м3</v>
      </c>
      <c r="F19" s="284">
        <f>'Смета в налоговую'!F32</f>
        <v>11500</v>
      </c>
      <c r="G19" s="284">
        <f>'Смета в налоговую'!G32</f>
        <v>5060</v>
      </c>
      <c r="H19" s="318">
        <f>'Смета в налоговую'!H32</f>
        <v>0</v>
      </c>
    </row>
    <row r="20" spans="1:8" hidden="1" thickBot="1" x14ac:dyDescent="0.35">
      <c r="A20" s="322"/>
      <c r="B20" s="284" t="str">
        <f>'Смета в налоговую'!B33</f>
        <v/>
      </c>
      <c r="C20" s="284" t="str">
        <f>'Смета в налоговую'!C33</f>
        <v>Брус 50х200 мм</v>
      </c>
      <c r="D20" s="284">
        <f>'Смета в налоговую'!D33</f>
        <v>0</v>
      </c>
      <c r="E20" s="284" t="str">
        <f>'Смета в налоговую'!E33</f>
        <v>м3</v>
      </c>
      <c r="F20" s="284">
        <f>'Смета в налоговую'!F33</f>
        <v>11500</v>
      </c>
      <c r="G20" s="284">
        <f>'Смета в налоговую'!G33</f>
        <v>5060</v>
      </c>
      <c r="H20" s="318">
        <f>'Смета в налоговую'!H33</f>
        <v>0</v>
      </c>
    </row>
    <row r="21" spans="1:8" hidden="1" thickBot="1" x14ac:dyDescent="0.35">
      <c r="A21" s="322"/>
      <c r="B21" s="284" t="str">
        <f>'Смета в налоговую'!B34</f>
        <v/>
      </c>
      <c r="C21" s="284" t="str">
        <f>'Смета в налоговую'!C34</f>
        <v>Брус 100х100 мм</v>
      </c>
      <c r="D21" s="284">
        <f>'Смета в налоговую'!D34</f>
        <v>0</v>
      </c>
      <c r="E21" s="284" t="str">
        <f>'Смета в налоговую'!E34</f>
        <v>м3</v>
      </c>
      <c r="F21" s="284">
        <f>'Смета в налоговую'!F34</f>
        <v>11500</v>
      </c>
      <c r="G21" s="284">
        <f>'Смета в налоговую'!G34</f>
        <v>5060</v>
      </c>
      <c r="H21" s="318">
        <f>'Смета в налоговую'!H34</f>
        <v>0</v>
      </c>
    </row>
    <row r="22" spans="1:8" hidden="1" thickBot="1" x14ac:dyDescent="0.35">
      <c r="A22" s="322"/>
      <c r="B22" s="284" t="str">
        <f>'Смета в налоговую'!B35</f>
        <v/>
      </c>
      <c r="C22" s="284" t="str">
        <f>'Смета в налоговую'!C35</f>
        <v>Брус 100х150 мм</v>
      </c>
      <c r="D22" s="284">
        <f>'Смета в налоговую'!D35</f>
        <v>0</v>
      </c>
      <c r="E22" s="284" t="str">
        <f>'Смета в налоговую'!E35</f>
        <v>м3</v>
      </c>
      <c r="F22" s="284">
        <f>'Смета в налоговую'!F35</f>
        <v>11500</v>
      </c>
      <c r="G22" s="284">
        <f>'Смета в налоговую'!G35</f>
        <v>5060</v>
      </c>
      <c r="H22" s="318">
        <f>'Смета в налоговую'!H35</f>
        <v>0</v>
      </c>
    </row>
    <row r="23" spans="1:8" hidden="1" thickBot="1" x14ac:dyDescent="0.35">
      <c r="A23" s="322"/>
      <c r="B23" s="284" t="str">
        <f>'Смета в налоговую'!B36</f>
        <v/>
      </c>
      <c r="C23" s="284" t="str">
        <f>'Смета в налоговую'!C36</f>
        <v>Брус 100х200 мм</v>
      </c>
      <c r="D23" s="284">
        <f>'Смета в налоговую'!D36</f>
        <v>0</v>
      </c>
      <c r="E23" s="284" t="str">
        <f>'Смета в налоговую'!E36</f>
        <v>м3</v>
      </c>
      <c r="F23" s="284">
        <f>'Смета в налоговую'!F36</f>
        <v>11500</v>
      </c>
      <c r="G23" s="284">
        <f>'Смета в налоговую'!G36</f>
        <v>5060</v>
      </c>
      <c r="H23" s="318">
        <f>'Смета в налоговую'!H36</f>
        <v>0</v>
      </c>
    </row>
    <row r="24" spans="1:8" hidden="1" thickBot="1" x14ac:dyDescent="0.35">
      <c r="A24" s="322"/>
      <c r="B24" s="284" t="str">
        <f>'Смета в налоговую'!B37</f>
        <v/>
      </c>
      <c r="C24" s="284" t="str">
        <f>'Смета в налоговую'!C37</f>
        <v>Брус 150х150 мм</v>
      </c>
      <c r="D24" s="284">
        <f>'Смета в налоговую'!D37</f>
        <v>0</v>
      </c>
      <c r="E24" s="284" t="str">
        <f>'Смета в налоговую'!E37</f>
        <v>м3</v>
      </c>
      <c r="F24" s="284">
        <f>'Смета в налоговую'!F37</f>
        <v>11500</v>
      </c>
      <c r="G24" s="284">
        <f>'Смета в налоговую'!G37</f>
        <v>5060</v>
      </c>
      <c r="H24" s="318">
        <f>'Смета в налоговую'!H37</f>
        <v>0</v>
      </c>
    </row>
    <row r="25" spans="1:8" hidden="1" thickBot="1" x14ac:dyDescent="0.35">
      <c r="A25" s="322"/>
      <c r="B25" s="284" t="str">
        <f>'Смета в налоговую'!B38</f>
        <v/>
      </c>
      <c r="C25" s="284" t="str">
        <f>'Смета в налоговую'!C38</f>
        <v>Брус 150х200 мм</v>
      </c>
      <c r="D25" s="284">
        <f>'Смета в налоговую'!D38</f>
        <v>0</v>
      </c>
      <c r="E25" s="284" t="str">
        <f>'Смета в налоговую'!E38</f>
        <v>м3</v>
      </c>
      <c r="F25" s="284">
        <f>'Смета в налоговую'!F38</f>
        <v>11500</v>
      </c>
      <c r="G25" s="284">
        <f>'Смета в налоговую'!G38</f>
        <v>5060</v>
      </c>
      <c r="H25" s="318">
        <f>'Смета в налоговую'!H38</f>
        <v>0</v>
      </c>
    </row>
    <row r="26" spans="1:8" hidden="1" thickBot="1" x14ac:dyDescent="0.35">
      <c r="A26" s="322"/>
      <c r="B26" s="284" t="str">
        <f>'Смета в налоговую'!B39</f>
        <v/>
      </c>
      <c r="C26" s="284" t="str">
        <f>'Смета в налоговую'!C39</f>
        <v>Брус 200х200 мм</v>
      </c>
      <c r="D26" s="284">
        <f>'Смета в налоговую'!D39</f>
        <v>0</v>
      </c>
      <c r="E26" s="284" t="str">
        <f>'Смета в налоговую'!E39</f>
        <v>м3</v>
      </c>
      <c r="F26" s="284">
        <f>'Смета в налоговую'!F39</f>
        <v>11500</v>
      </c>
      <c r="G26" s="284">
        <f>'Смета в налоговую'!G39</f>
        <v>5060</v>
      </c>
      <c r="H26" s="318">
        <f>'Смета в налоговую'!H39</f>
        <v>0</v>
      </c>
    </row>
    <row r="27" spans="1:8" hidden="1" thickBot="1" x14ac:dyDescent="0.35">
      <c r="A27" s="322"/>
      <c r="B27" s="284" t="str">
        <f>'Смета в налоговую'!B40</f>
        <v/>
      </c>
      <c r="C27" s="284" t="str">
        <f>'Смета в налоговую'!C40</f>
        <v>Брус сухой, нестроганый 25х50 мм</v>
      </c>
      <c r="D27" s="284">
        <f>'Смета в налоговую'!D40</f>
        <v>0</v>
      </c>
      <c r="E27" s="284" t="str">
        <f>'Смета в налоговую'!E40</f>
        <v>м3</v>
      </c>
      <c r="F27" s="284">
        <f>'Смета в налоговую'!F40</f>
        <v>13500</v>
      </c>
      <c r="G27" s="284">
        <f>'Смета в налоговую'!G40</f>
        <v>5940.0000000000009</v>
      </c>
      <c r="H27" s="318">
        <f>'Смета в налоговую'!H40</f>
        <v>0</v>
      </c>
    </row>
    <row r="28" spans="1:8" hidden="1" thickBot="1" x14ac:dyDescent="0.35">
      <c r="A28" s="322"/>
      <c r="B28" s="284" t="str">
        <f>'Смета в налоговую'!B41</f>
        <v/>
      </c>
      <c r="C28" s="284" t="str">
        <f>'Смета в налоговую'!C41</f>
        <v>Брус сухой, нестроганый 25х100 мм</v>
      </c>
      <c r="D28" s="284">
        <f>'Смета в налоговую'!D41</f>
        <v>0</v>
      </c>
      <c r="E28" s="284" t="str">
        <f>'Смета в налоговую'!E41</f>
        <v>м3</v>
      </c>
      <c r="F28" s="284">
        <f>'Смета в налоговую'!F41</f>
        <v>13500</v>
      </c>
      <c r="G28" s="284">
        <f>'Смета в налоговую'!G41</f>
        <v>5940.0000000000009</v>
      </c>
      <c r="H28" s="318">
        <f>'Смета в налоговую'!H41</f>
        <v>0</v>
      </c>
    </row>
    <row r="29" spans="1:8" ht="29.45" hidden="1" thickBot="1" x14ac:dyDescent="0.35">
      <c r="A29" s="322"/>
      <c r="B29" s="284" t="str">
        <f>'Смета в налоговую'!B42</f>
        <v/>
      </c>
      <c r="C29" s="284" t="str">
        <f>'Смета в налоговую'!C42</f>
        <v>Брус 2-го сорта, сухой, нестроганый 25х100 мм</v>
      </c>
      <c r="D29" s="284">
        <f>'Смета в налоговую'!D42</f>
        <v>0</v>
      </c>
      <c r="E29" s="284" t="str">
        <f>'Смета в налоговую'!E42</f>
        <v>м3</v>
      </c>
      <c r="F29" s="284">
        <f>'Смета в налоговую'!F42</f>
        <v>9125</v>
      </c>
      <c r="G29" s="284">
        <f>'Смета в налоговую'!G42</f>
        <v>4015.0000000000005</v>
      </c>
      <c r="H29" s="318">
        <f>'Смета в налоговую'!H42</f>
        <v>0</v>
      </c>
    </row>
    <row r="30" spans="1:8" hidden="1" thickBot="1" x14ac:dyDescent="0.35">
      <c r="A30" s="322"/>
      <c r="B30" s="284" t="str">
        <f>'Смета в налоговую'!B43</f>
        <v/>
      </c>
      <c r="C30" s="284" t="str">
        <f>'Смета в налоговую'!C43</f>
        <v>Брус сухой, нестроганый 25х150 мм</v>
      </c>
      <c r="D30" s="284">
        <f>'Смета в налоговую'!D43</f>
        <v>0</v>
      </c>
      <c r="E30" s="284" t="str">
        <f>'Смета в налоговую'!E43</f>
        <v>м3</v>
      </c>
      <c r="F30" s="284">
        <f>'Смета в налоговую'!F43</f>
        <v>13500</v>
      </c>
      <c r="G30" s="284">
        <f>'Смета в налоговую'!G43</f>
        <v>5940.0000000000009</v>
      </c>
      <c r="H30" s="318">
        <f>'Смета в налоговую'!H43</f>
        <v>0</v>
      </c>
    </row>
    <row r="31" spans="1:8" hidden="1" thickBot="1" x14ac:dyDescent="0.35">
      <c r="A31" s="322"/>
      <c r="B31" s="284" t="str">
        <f>'Смета в налоговую'!B44</f>
        <v/>
      </c>
      <c r="C31" s="284" t="str">
        <f>'Смета в налоговую'!C44</f>
        <v>Брус сухой, нестроганый 25х200 мм</v>
      </c>
      <c r="D31" s="284">
        <f>'Смета в налоговую'!D44</f>
        <v>0</v>
      </c>
      <c r="E31" s="284" t="str">
        <f>'Смета в налоговую'!E44</f>
        <v>м3</v>
      </c>
      <c r="F31" s="284">
        <f>'Смета в налоговую'!F44</f>
        <v>13500</v>
      </c>
      <c r="G31" s="284">
        <f>'Смета в налоговую'!G44</f>
        <v>5940.0000000000009</v>
      </c>
      <c r="H31" s="318">
        <f>'Смета в налоговую'!H44</f>
        <v>0</v>
      </c>
    </row>
    <row r="32" spans="1:8" hidden="1" thickBot="1" x14ac:dyDescent="0.35">
      <c r="A32" s="322"/>
      <c r="B32" s="284" t="str">
        <f>'Смета в налоговую'!B45</f>
        <v/>
      </c>
      <c r="C32" s="284" t="str">
        <f>'Смета в налоговую'!C45</f>
        <v>Брус сухой, нестроганый 40х50 мм</v>
      </c>
      <c r="D32" s="284">
        <f>'Смета в налоговую'!D45</f>
        <v>0</v>
      </c>
      <c r="E32" s="284" t="str">
        <f>'Смета в налоговую'!E45</f>
        <v>м3</v>
      </c>
      <c r="F32" s="284">
        <f>'Смета в налоговую'!F45</f>
        <v>13500</v>
      </c>
      <c r="G32" s="284">
        <f>'Смета в налоговую'!G45</f>
        <v>5940.0000000000009</v>
      </c>
      <c r="H32" s="318">
        <f>'Смета в налоговую'!H45</f>
        <v>0</v>
      </c>
    </row>
    <row r="33" spans="1:8" hidden="1" thickBot="1" x14ac:dyDescent="0.35">
      <c r="A33" s="322"/>
      <c r="B33" s="284" t="str">
        <f>'Смета в налоговую'!B46</f>
        <v/>
      </c>
      <c r="C33" s="284" t="str">
        <f>'Смета в налоговую'!C46</f>
        <v>Брус сухой, нестроганый 50х50 мм</v>
      </c>
      <c r="D33" s="284">
        <f>'Смета в налоговую'!D46</f>
        <v>0</v>
      </c>
      <c r="E33" s="284" t="str">
        <f>'Смета в налоговую'!E46</f>
        <v>м3</v>
      </c>
      <c r="F33" s="284">
        <f>'Смета в налоговую'!F46</f>
        <v>13500</v>
      </c>
      <c r="G33" s="284">
        <f>'Смета в налоговую'!G46</f>
        <v>5940.0000000000009</v>
      </c>
      <c r="H33" s="318">
        <f>'Смета в налоговую'!H46</f>
        <v>0</v>
      </c>
    </row>
    <row r="34" spans="1:8" hidden="1" thickBot="1" x14ac:dyDescent="0.35">
      <c r="A34" s="322"/>
      <c r="B34" s="284" t="str">
        <f>'Смета в налоговую'!B47</f>
        <v/>
      </c>
      <c r="C34" s="284" t="str">
        <f>'Смета в налоговую'!C47</f>
        <v>Брус сухой, нестроганый 50х100 мм</v>
      </c>
      <c r="D34" s="284">
        <f>'Смета в налоговую'!D47</f>
        <v>0</v>
      </c>
      <c r="E34" s="284" t="str">
        <f>'Смета в налоговую'!E47</f>
        <v>м3</v>
      </c>
      <c r="F34" s="284">
        <f>'Смета в налоговую'!F47</f>
        <v>13500</v>
      </c>
      <c r="G34" s="284">
        <f>'Смета в налоговую'!G47</f>
        <v>5940.0000000000009</v>
      </c>
      <c r="H34" s="318">
        <f>'Смета в налоговую'!H47</f>
        <v>0</v>
      </c>
    </row>
    <row r="35" spans="1:8" hidden="1" thickBot="1" x14ac:dyDescent="0.35">
      <c r="A35" s="322"/>
      <c r="B35" s="284" t="str">
        <f>'Смета в налоговую'!B48</f>
        <v/>
      </c>
      <c r="C35" s="284" t="str">
        <f>'Смета в налоговую'!C48</f>
        <v>Брус сухой, нестроганый 50х150 мм</v>
      </c>
      <c r="D35" s="284">
        <f>'Смета в налоговую'!D48</f>
        <v>0</v>
      </c>
      <c r="E35" s="284" t="str">
        <f>'Смета в налоговую'!E48</f>
        <v>м3</v>
      </c>
      <c r="F35" s="284">
        <f>'Смета в налоговую'!F48</f>
        <v>13500</v>
      </c>
      <c r="G35" s="284">
        <f>'Смета в налоговую'!G48</f>
        <v>5940.0000000000009</v>
      </c>
      <c r="H35" s="318">
        <f>'Смета в налоговую'!H48</f>
        <v>0</v>
      </c>
    </row>
    <row r="36" spans="1:8" hidden="1" thickBot="1" x14ac:dyDescent="0.35">
      <c r="A36" s="322"/>
      <c r="B36" s="284" t="str">
        <f>'Смета в налоговую'!B49</f>
        <v/>
      </c>
      <c r="C36" s="284" t="str">
        <f>'Смета в налоговую'!C49</f>
        <v>Брус сухой, нестроганый 50х200 мм</v>
      </c>
      <c r="D36" s="284">
        <f>'Смета в налоговую'!D49</f>
        <v>0</v>
      </c>
      <c r="E36" s="284" t="str">
        <f>'Смета в налоговую'!E49</f>
        <v>м3</v>
      </c>
      <c r="F36" s="284">
        <f>'Смета в налоговую'!F49</f>
        <v>13500</v>
      </c>
      <c r="G36" s="284">
        <f>'Смета в налоговую'!G49</f>
        <v>5940.0000000000009</v>
      </c>
      <c r="H36" s="318">
        <f>'Смета в налоговую'!H49</f>
        <v>0</v>
      </c>
    </row>
    <row r="37" spans="1:8" hidden="1" thickBot="1" x14ac:dyDescent="0.35">
      <c r="A37" s="322"/>
      <c r="B37" s="284" t="str">
        <f>'Смета в налоговую'!B50</f>
        <v/>
      </c>
      <c r="C37" s="284" t="str">
        <f>'Смета в налоговую'!C50</f>
        <v>Брус сухой, нестроганый 100х100 мм</v>
      </c>
      <c r="D37" s="284">
        <f>'Смета в налоговую'!D50</f>
        <v>0</v>
      </c>
      <c r="E37" s="284" t="str">
        <f>'Смета в налоговую'!E50</f>
        <v>м3</v>
      </c>
      <c r="F37" s="284">
        <f>'Смета в налоговую'!F50</f>
        <v>13500</v>
      </c>
      <c r="G37" s="284">
        <f>'Смета в налоговую'!G50</f>
        <v>5940.0000000000009</v>
      </c>
      <c r="H37" s="318">
        <f>'Смета в налоговую'!H50</f>
        <v>0</v>
      </c>
    </row>
    <row r="38" spans="1:8" hidden="1" thickBot="1" x14ac:dyDescent="0.35">
      <c r="A38" s="322"/>
      <c r="B38" s="284" t="str">
        <f>'Смета в налоговую'!B51</f>
        <v/>
      </c>
      <c r="C38" s="284" t="str">
        <f>'Смета в налоговую'!C51</f>
        <v>Брус сухой, нестроганый 100х150 мм</v>
      </c>
      <c r="D38" s="284">
        <f>'Смета в налоговую'!D51</f>
        <v>0</v>
      </c>
      <c r="E38" s="284" t="str">
        <f>'Смета в налоговую'!E51</f>
        <v>м3</v>
      </c>
      <c r="F38" s="284">
        <f>'Смета в налоговую'!F51</f>
        <v>13500</v>
      </c>
      <c r="G38" s="284">
        <f>'Смета в налоговую'!G51</f>
        <v>5940.0000000000009</v>
      </c>
      <c r="H38" s="318">
        <f>'Смета в налоговую'!H51</f>
        <v>0</v>
      </c>
    </row>
    <row r="39" spans="1:8" hidden="1" thickBot="1" x14ac:dyDescent="0.35">
      <c r="A39" s="322"/>
      <c r="B39" s="284" t="str">
        <f>'Смета в налоговую'!B52</f>
        <v/>
      </c>
      <c r="C39" s="284" t="str">
        <f>'Смета в налоговую'!C52</f>
        <v>Брус сухой, нестроганый 100х200 мм</v>
      </c>
      <c r="D39" s="284">
        <f>'Смета в налоговую'!D52</f>
        <v>0</v>
      </c>
      <c r="E39" s="284" t="str">
        <f>'Смета в налоговую'!E52</f>
        <v>м3</v>
      </c>
      <c r="F39" s="284">
        <f>'Смета в налоговую'!F52</f>
        <v>13500</v>
      </c>
      <c r="G39" s="284">
        <f>'Смета в налоговую'!G52</f>
        <v>5940.0000000000009</v>
      </c>
      <c r="H39" s="318">
        <f>'Смета в налоговую'!H52</f>
        <v>0</v>
      </c>
    </row>
    <row r="40" spans="1:8" hidden="1" thickBot="1" x14ac:dyDescent="0.35">
      <c r="A40" s="322"/>
      <c r="B40" s="284" t="str">
        <f>'Смета в налоговую'!B53</f>
        <v/>
      </c>
      <c r="C40" s="284" t="str">
        <f>'Смета в налоговую'!C53</f>
        <v>Брус сухой, нестроганый 150х150 мм</v>
      </c>
      <c r="D40" s="284">
        <f>'Смета в налоговую'!D53</f>
        <v>0</v>
      </c>
      <c r="E40" s="284" t="str">
        <f>'Смета в налоговую'!E53</f>
        <v>м3</v>
      </c>
      <c r="F40" s="284">
        <f>'Смета в налоговую'!F53</f>
        <v>13500</v>
      </c>
      <c r="G40" s="284">
        <f>'Смета в налоговую'!G53</f>
        <v>5940.0000000000009</v>
      </c>
      <c r="H40" s="318">
        <f>'Смета в налоговую'!H53</f>
        <v>0</v>
      </c>
    </row>
    <row r="41" spans="1:8" hidden="1" thickBot="1" x14ac:dyDescent="0.35">
      <c r="A41" s="322"/>
      <c r="B41" s="284" t="str">
        <f>'Смета в налоговую'!B54</f>
        <v/>
      </c>
      <c r="C41" s="284" t="str">
        <f>'Смета в налоговую'!C54</f>
        <v>Брус сухой, нестроганый 150х200 мм</v>
      </c>
      <c r="D41" s="284">
        <f>'Смета в налоговую'!D54</f>
        <v>0</v>
      </c>
      <c r="E41" s="284" t="str">
        <f>'Смета в налоговую'!E54</f>
        <v>м3</v>
      </c>
      <c r="F41" s="284">
        <f>'Смета в налоговую'!F54</f>
        <v>13500</v>
      </c>
      <c r="G41" s="284">
        <f>'Смета в налоговую'!G54</f>
        <v>5940.0000000000009</v>
      </c>
      <c r="H41" s="318">
        <f>'Смета в налоговую'!H54</f>
        <v>0</v>
      </c>
    </row>
    <row r="42" spans="1:8" hidden="1" thickBot="1" x14ac:dyDescent="0.35">
      <c r="A42" s="322"/>
      <c r="B42" s="284" t="str">
        <f>'Смета в налоговую'!B55</f>
        <v/>
      </c>
      <c r="C42" s="284" t="str">
        <f>'Смета в налоговую'!C55</f>
        <v>Брус сухой, нестроганый 200х200 мм</v>
      </c>
      <c r="D42" s="284">
        <f>'Смета в налоговую'!D55</f>
        <v>0</v>
      </c>
      <c r="E42" s="284" t="str">
        <f>'Смета в налоговую'!E55</f>
        <v>м3</v>
      </c>
      <c r="F42" s="284">
        <f>'Смета в налоговую'!F55</f>
        <v>13500</v>
      </c>
      <c r="G42" s="284">
        <f>'Смета в налоговую'!G55</f>
        <v>5940.0000000000009</v>
      </c>
      <c r="H42" s="318">
        <f>'Смета в налоговую'!H55</f>
        <v>0</v>
      </c>
    </row>
    <row r="43" spans="1:8" hidden="1" thickBot="1" x14ac:dyDescent="0.35">
      <c r="A43" s="322"/>
      <c r="B43" s="284" t="str">
        <f>'Смета в налоговую'!B56</f>
        <v/>
      </c>
      <c r="C43" s="284" t="str">
        <f>'Смета в налоговую'!C56</f>
        <v>Брус сухой, строганый 20х40 мм</v>
      </c>
      <c r="D43" s="284">
        <f>'Смета в налоговую'!D56</f>
        <v>0</v>
      </c>
      <c r="E43" s="284" t="str">
        <f>'Смета в налоговую'!E56</f>
        <v>м3</v>
      </c>
      <c r="F43" s="284">
        <f>'Смета в налоговую'!F56</f>
        <v>16500</v>
      </c>
      <c r="G43" s="284">
        <f>'Смета в налоговую'!G56</f>
        <v>7260.0000000000009</v>
      </c>
      <c r="H43" s="318">
        <f>'Смета в налоговую'!H56</f>
        <v>0</v>
      </c>
    </row>
    <row r="44" spans="1:8" hidden="1" thickBot="1" x14ac:dyDescent="0.35">
      <c r="A44" s="322"/>
      <c r="B44" s="284" t="str">
        <f>'Смета в налоговую'!B57</f>
        <v/>
      </c>
      <c r="C44" s="284" t="str">
        <f>'Смета в налоговую'!C57</f>
        <v>Брус сухой, строганый 20х90 мм</v>
      </c>
      <c r="D44" s="284">
        <f>'Смета в налоговую'!D57</f>
        <v>1.296</v>
      </c>
      <c r="E44" s="284" t="str">
        <f>'Смета в налоговую'!E57</f>
        <v>м3</v>
      </c>
      <c r="F44" s="284">
        <f>'Смета в налоговую'!F57</f>
        <v>16500</v>
      </c>
      <c r="G44" s="284">
        <f>'Смета в налоговую'!G57</f>
        <v>7260.0000000000009</v>
      </c>
      <c r="H44" s="318">
        <f>'Смета в налоговую'!H57</f>
        <v>30792.960000000003</v>
      </c>
    </row>
    <row r="45" spans="1:8" ht="29.45" hidden="1" thickBot="1" x14ac:dyDescent="0.35">
      <c r="A45" s="322"/>
      <c r="B45" s="284" t="str">
        <f>'Смета в налоговую'!B58</f>
        <v/>
      </c>
      <c r="C45" s="284" t="str">
        <f>'Смета в налоговую'!C58</f>
        <v>Брус 2-го сорта,сухой, строганый 20х90 мм</v>
      </c>
      <c r="D45" s="284">
        <f>'Смета в налоговую'!D58</f>
        <v>0</v>
      </c>
      <c r="E45" s="284" t="str">
        <f>'Смета в налоговую'!E58</f>
        <v>м3</v>
      </c>
      <c r="F45" s="284">
        <f>'Смета в налоговую'!F58</f>
        <v>11125</v>
      </c>
      <c r="G45" s="284">
        <f>'Смета в налоговую'!G58</f>
        <v>4895</v>
      </c>
      <c r="H45" s="318">
        <f>'Смета в налоговую'!H58</f>
        <v>0</v>
      </c>
    </row>
    <row r="46" spans="1:8" hidden="1" thickBot="1" x14ac:dyDescent="0.35">
      <c r="A46" s="322"/>
      <c r="B46" s="284" t="str">
        <f>'Смета в налоговую'!B59</f>
        <v/>
      </c>
      <c r="C46" s="284" t="str">
        <f>'Смета в налоговую'!C59</f>
        <v>Брус сухой, строганый 40х50 мм</v>
      </c>
      <c r="D46" s="284">
        <f>'Смета в налоговую'!D59</f>
        <v>1.1879999999999999</v>
      </c>
      <c r="E46" s="284" t="str">
        <f>'Смета в налоговую'!E59</f>
        <v>м3</v>
      </c>
      <c r="F46" s="284">
        <f>'Смета в налоговую'!F59</f>
        <v>16500</v>
      </c>
      <c r="G46" s="284">
        <f>'Смета в налоговую'!G59</f>
        <v>7260.0000000000009</v>
      </c>
      <c r="H46" s="318">
        <f>'Смета в налоговую'!H59</f>
        <v>28226.879999999997</v>
      </c>
    </row>
    <row r="47" spans="1:8" hidden="1" thickBot="1" x14ac:dyDescent="0.35">
      <c r="A47" s="322"/>
      <c r="B47" s="284" t="str">
        <f>'Смета в налоговую'!B60</f>
        <v/>
      </c>
      <c r="C47" s="284" t="str">
        <f>'Смета в налоговую'!C60</f>
        <v>Брус сухой, строганый 40х90 мм</v>
      </c>
      <c r="D47" s="284">
        <f>'Смета в налоговую'!D60</f>
        <v>0.54</v>
      </c>
      <c r="E47" s="284" t="str">
        <f>'Смета в налоговую'!E60</f>
        <v>м3</v>
      </c>
      <c r="F47" s="284">
        <f>'Смета в налоговую'!F60</f>
        <v>16500</v>
      </c>
      <c r="G47" s="284">
        <f>'Смета в налоговую'!G60</f>
        <v>7260.0000000000009</v>
      </c>
      <c r="H47" s="318">
        <f>'Смета в налоговую'!H60</f>
        <v>12830.400000000001</v>
      </c>
    </row>
    <row r="48" spans="1:8" hidden="1" thickBot="1" x14ac:dyDescent="0.35">
      <c r="A48" s="322"/>
      <c r="B48" s="284" t="str">
        <f>'Смета в налоговую'!B61</f>
        <v/>
      </c>
      <c r="C48" s="284" t="str">
        <f>'Смета в налоговую'!C61</f>
        <v>Брус сухой, строганый 40х140 мм</v>
      </c>
      <c r="D48" s="284">
        <f>'Смета в налоговую'!D61</f>
        <v>1.1088000000000002</v>
      </c>
      <c r="E48" s="284" t="str">
        <f>'Смета в налоговую'!E61</f>
        <v>м3</v>
      </c>
      <c r="F48" s="284">
        <f>'Смета в налоговую'!F61</f>
        <v>16500</v>
      </c>
      <c r="G48" s="284">
        <f>'Смета в налоговую'!G61</f>
        <v>7260.0000000000009</v>
      </c>
      <c r="H48" s="318">
        <f>'Смета в налоговую'!H61</f>
        <v>26345.088000000007</v>
      </c>
    </row>
    <row r="49" spans="1:10" hidden="1" thickBot="1" x14ac:dyDescent="0.35">
      <c r="A49" s="322"/>
      <c r="B49" s="284" t="str">
        <f>'Смета в налоговую'!B62</f>
        <v/>
      </c>
      <c r="C49" s="284" t="str">
        <f>'Смета в налоговую'!C62</f>
        <v>Брус сухой, строганый 40х190 мм</v>
      </c>
      <c r="D49" s="284">
        <f>'Смета в налоговую'!D62</f>
        <v>0</v>
      </c>
      <c r="E49" s="284" t="str">
        <f>'Смета в налоговую'!E62</f>
        <v>м3</v>
      </c>
      <c r="F49" s="284">
        <f>'Смета в налоговую'!F62</f>
        <v>16500</v>
      </c>
      <c r="G49" s="284">
        <f>'Смета в налоговую'!G62</f>
        <v>7260.0000000000009</v>
      </c>
      <c r="H49" s="318">
        <f>'Смета в налоговую'!H62</f>
        <v>0</v>
      </c>
    </row>
    <row r="50" spans="1:10" ht="29.45" hidden="1" thickBot="1" x14ac:dyDescent="0.35">
      <c r="A50" s="322"/>
      <c r="B50" s="284" t="str">
        <f>'Смета в налоговую'!B63</f>
        <v>Сборка в лапу профилированного бруса</v>
      </c>
      <c r="C50" s="284" t="str">
        <f>'Смета в налоговую'!C63</f>
        <v>Профрофилированный брус (сборка в лапу) 195х145 мм</v>
      </c>
      <c r="D50" s="284">
        <f>'Смета в налоговую'!D63</f>
        <v>0</v>
      </c>
      <c r="E50" s="284" t="str">
        <f>'Смета в налоговую'!E63</f>
        <v>м3</v>
      </c>
      <c r="F50" s="284">
        <f>'Смета в налоговую'!F63</f>
        <v>14125</v>
      </c>
      <c r="G50" s="284">
        <f>'Смета в налоговую'!G63</f>
        <v>6215.0000000000009</v>
      </c>
      <c r="H50" s="318">
        <f>'Смета в налоговую'!H63</f>
        <v>0</v>
      </c>
    </row>
    <row r="51" spans="1:10" ht="29.45" hidden="1" thickBot="1" x14ac:dyDescent="0.35">
      <c r="A51" s="322"/>
      <c r="B51" s="284" t="str">
        <f>'Смета в налоговую'!B64</f>
        <v>Сборка в лапу профилированного бруса</v>
      </c>
      <c r="C51" s="284" t="str">
        <f>'Смета в налоговую'!C64</f>
        <v>Профрофилированный брус (сборка в лапу) 145х145 мм</v>
      </c>
      <c r="D51" s="284">
        <f>'Смета в налоговую'!D64</f>
        <v>0</v>
      </c>
      <c r="E51" s="284" t="str">
        <f>'Смета в налоговую'!E64</f>
        <v>м3</v>
      </c>
      <c r="F51" s="284">
        <f>'Смета в налоговую'!F64</f>
        <v>14125</v>
      </c>
      <c r="G51" s="284">
        <f>'Смета в налоговую'!G64</f>
        <v>6215.0000000000009</v>
      </c>
      <c r="H51" s="318">
        <f>'Смета в налоговую'!H64</f>
        <v>0</v>
      </c>
    </row>
    <row r="52" spans="1:10" ht="29.45" hidden="1" thickBot="1" x14ac:dyDescent="0.35">
      <c r="A52" s="322"/>
      <c r="B52" s="284" t="str">
        <f>'Смета в налоговую'!B65</f>
        <v>Сборка в лапу профилированного бруса</v>
      </c>
      <c r="C52" s="284" t="str">
        <f>'Смета в налоговую'!C65</f>
        <v>Профрофилированный брус (сборка в лапу) 95х145 мм</v>
      </c>
      <c r="D52" s="284">
        <f>'Смета в налоговую'!D65</f>
        <v>0</v>
      </c>
      <c r="E52" s="284" t="str">
        <f>'Смета в налоговую'!E65</f>
        <v>м3</v>
      </c>
      <c r="F52" s="284">
        <f>'Смета в налоговую'!F65</f>
        <v>14125</v>
      </c>
      <c r="G52" s="284">
        <f>'Смета в налоговую'!G65</f>
        <v>6215.0000000000009</v>
      </c>
      <c r="H52" s="318">
        <f>'Смета в налоговую'!H65</f>
        <v>0</v>
      </c>
    </row>
    <row r="53" spans="1:10" ht="29.45" hidden="1" thickBot="1" x14ac:dyDescent="0.35">
      <c r="A53" s="322"/>
      <c r="B53" s="284" t="str">
        <f>'Смета в налоговую'!B66</f>
        <v>Сборка в лапу профилированного бруса</v>
      </c>
      <c r="C53" s="284" t="str">
        <f>'Смета в налоговую'!C66</f>
        <v>Профрофилированный брус (сборка в лапу), сухой 195х145 мм</v>
      </c>
      <c r="D53" s="284">
        <f>'Смета в налоговую'!D66</f>
        <v>0</v>
      </c>
      <c r="E53" s="284" t="str">
        <f>'Смета в налоговую'!E66</f>
        <v>м3</v>
      </c>
      <c r="F53" s="284">
        <f>'Смета в налоговую'!F66</f>
        <v>17875</v>
      </c>
      <c r="G53" s="284">
        <f>'Смета в налоговую'!G66</f>
        <v>7865.0000000000009</v>
      </c>
      <c r="H53" s="318">
        <f>'Смета в налоговую'!H66</f>
        <v>0</v>
      </c>
    </row>
    <row r="54" spans="1:10" ht="29.45" hidden="1" thickBot="1" x14ac:dyDescent="0.35">
      <c r="A54" s="322"/>
      <c r="B54" s="284" t="str">
        <f>'Смета в налоговую'!B67</f>
        <v>Сборка в лапу профилированного бруса</v>
      </c>
      <c r="C54" s="284" t="str">
        <f>'Смета в налоговую'!C67</f>
        <v>Профрофилированный брус (сборка в лапу), сухой 145х145 мм</v>
      </c>
      <c r="D54" s="284">
        <f>'Смета в налоговую'!D67</f>
        <v>0</v>
      </c>
      <c r="E54" s="284" t="str">
        <f>'Смета в налоговую'!E67</f>
        <v>м3</v>
      </c>
      <c r="F54" s="284">
        <f>'Смета в налоговую'!F67</f>
        <v>17875</v>
      </c>
      <c r="G54" s="284">
        <f>'Смета в налоговую'!G67</f>
        <v>7865.0000000000009</v>
      </c>
      <c r="H54" s="318">
        <f>'Смета в налоговую'!H67</f>
        <v>0</v>
      </c>
    </row>
    <row r="55" spans="1:10" ht="29.45" hidden="1" thickBot="1" x14ac:dyDescent="0.35">
      <c r="A55" s="322"/>
      <c r="B55" s="284" t="str">
        <f>'Смета в налоговую'!B68</f>
        <v>Сборка в лапу профилированного бруса</v>
      </c>
      <c r="C55" s="284" t="str">
        <f>'Смета в налоговую'!C68</f>
        <v>Профрофилированный брус (сборка в лапу), сухой 95х145 мм</v>
      </c>
      <c r="D55" s="284">
        <f>'Смета в налоговую'!D68</f>
        <v>0</v>
      </c>
      <c r="E55" s="284" t="str">
        <f>'Смета в налоговую'!E68</f>
        <v>м3</v>
      </c>
      <c r="F55" s="284">
        <f>'Смета в налоговую'!F68</f>
        <v>17875</v>
      </c>
      <c r="G55" s="284">
        <f>'Смета в налоговую'!G68</f>
        <v>7865.0000000000009</v>
      </c>
      <c r="H55" s="318">
        <f>'Смета в налоговую'!H68</f>
        <v>0</v>
      </c>
    </row>
    <row r="56" spans="1:10" ht="29.45" hidden="1" thickBot="1" x14ac:dyDescent="0.35">
      <c r="A56" s="322"/>
      <c r="B56" s="284" t="str">
        <f>'Смета в налоговую'!B69</f>
        <v>Сборка в чашу профилированного бруса</v>
      </c>
      <c r="C56" s="284" t="str">
        <f>'Смета в налоговую'!C69</f>
        <v>Профрофилированный брус (сборка в чашу), сухой 195х145 мм</v>
      </c>
      <c r="D56" s="284">
        <f>'Смета в налоговую'!D69</f>
        <v>0</v>
      </c>
      <c r="E56" s="284" t="str">
        <f>'Смета в налоговую'!E69</f>
        <v>м3</v>
      </c>
      <c r="F56" s="284">
        <f>'Смета в налоговую'!F69</f>
        <v>17750</v>
      </c>
      <c r="G56" s="284">
        <f>'Смета в налоговую'!G69</f>
        <v>7810.0000000000009</v>
      </c>
      <c r="H56" s="318">
        <f>'Смета в налоговую'!H69</f>
        <v>0</v>
      </c>
      <c r="J56" s="297" t="s">
        <v>891</v>
      </c>
    </row>
    <row r="57" spans="1:10" ht="29.45" hidden="1" thickBot="1" x14ac:dyDescent="0.35">
      <c r="A57" s="322"/>
      <c r="B57" s="284" t="str">
        <f>'Смета в налоговую'!B70</f>
        <v>Сборка в чашу профилированного бруса</v>
      </c>
      <c r="C57" s="284" t="str">
        <f>'Смета в налоговую'!C70</f>
        <v>Профрофилированный брус (сборка в чашу), сухой 145х145 мм</v>
      </c>
      <c r="D57" s="284">
        <f>'Смета в налоговую'!D70</f>
        <v>0</v>
      </c>
      <c r="E57" s="284" t="str">
        <f>'Смета в налоговую'!E70</f>
        <v>м3</v>
      </c>
      <c r="F57" s="284">
        <f>'Смета в налоговую'!F70</f>
        <v>17750</v>
      </c>
      <c r="G57" s="284">
        <f>'Смета в налоговую'!G70</f>
        <v>7810.0000000000009</v>
      </c>
      <c r="H57" s="318">
        <f>'Смета в налоговую'!H70</f>
        <v>0</v>
      </c>
    </row>
    <row r="58" spans="1:10" ht="29.45" hidden="1" thickBot="1" x14ac:dyDescent="0.35">
      <c r="A58" s="322"/>
      <c r="B58" s="284" t="str">
        <f>'Смета в налоговую'!B71</f>
        <v>Сборка в чашу профилированного бруса</v>
      </c>
      <c r="C58" s="284" t="str">
        <f>'Смета в налоговую'!C71</f>
        <v>Профрофилированный брус (сборка в чашу), сухой 95х145 мм</v>
      </c>
      <c r="D58" s="284">
        <f>'Смета в налоговую'!D71</f>
        <v>0</v>
      </c>
      <c r="E58" s="284" t="str">
        <f>'Смета в налоговую'!E71</f>
        <v>м3</v>
      </c>
      <c r="F58" s="284">
        <f>'Смета в налоговую'!F71</f>
        <v>17750</v>
      </c>
      <c r="G58" s="284">
        <f>'Смета в налоговую'!G71</f>
        <v>7810.0000000000009</v>
      </c>
      <c r="H58" s="318">
        <f>'Смета в налоговую'!H71</f>
        <v>0</v>
      </c>
    </row>
    <row r="59" spans="1:10" hidden="1" thickBot="1" x14ac:dyDescent="0.35">
      <c r="A59" s="322"/>
      <c r="B59" s="284" t="str">
        <f>'Смета в налоговую'!B72</f>
        <v>Сборка оцилиндрованного бревна</v>
      </c>
      <c r="C59" s="284" t="str">
        <f>'Смета в налоговую'!C72</f>
        <v>Оцилиндрованное бревно ф18</v>
      </c>
      <c r="D59" s="284">
        <f>'Смета в налоговую'!D72</f>
        <v>0</v>
      </c>
      <c r="E59" s="284" t="str">
        <f>'Смета в налоговую'!E72</f>
        <v>м3</v>
      </c>
      <c r="F59" s="284">
        <f>'Смета в налоговую'!F72</f>
        <v>11000</v>
      </c>
      <c r="G59" s="284">
        <f>'Смета в налоговую'!G72</f>
        <v>4840</v>
      </c>
      <c r="H59" s="318">
        <f>'Смета в налоговую'!H72</f>
        <v>0</v>
      </c>
    </row>
    <row r="60" spans="1:10" hidden="1" thickBot="1" x14ac:dyDescent="0.35">
      <c r="A60" s="322"/>
      <c r="B60" s="284" t="str">
        <f>'Смета в налоговую'!B73</f>
        <v>Сборка оцилиндрованного бревна</v>
      </c>
      <c r="C60" s="284" t="str">
        <f>'Смета в налоговую'!C73</f>
        <v>Оцилиндрованное бревно ф20</v>
      </c>
      <c r="D60" s="284">
        <f>'Смета в налоговую'!D73</f>
        <v>0</v>
      </c>
      <c r="E60" s="284" t="str">
        <f>'Смета в налоговую'!E73</f>
        <v>м3</v>
      </c>
      <c r="F60" s="284">
        <f>'Смета в налоговую'!F73</f>
        <v>11000</v>
      </c>
      <c r="G60" s="284">
        <f>'Смета в налоговую'!G73</f>
        <v>4840</v>
      </c>
      <c r="H60" s="318">
        <f>'Смета в налоговую'!H73</f>
        <v>0</v>
      </c>
    </row>
    <row r="61" spans="1:10" hidden="1" thickBot="1" x14ac:dyDescent="0.35">
      <c r="A61" s="322"/>
      <c r="B61" s="284" t="str">
        <f>'Смета в налоговую'!B74</f>
        <v>Сборка оцилиндрованного бревна</v>
      </c>
      <c r="C61" s="284" t="str">
        <f>'Смета в налоговую'!C74</f>
        <v>Оцилиндрованное бревно ф22</v>
      </c>
      <c r="D61" s="284">
        <f>'Смета в налоговую'!D74</f>
        <v>0</v>
      </c>
      <c r="E61" s="284" t="str">
        <f>'Смета в налоговую'!E74</f>
        <v>м3</v>
      </c>
      <c r="F61" s="284">
        <f>'Смета в налоговую'!F74</f>
        <v>11000</v>
      </c>
      <c r="G61" s="284">
        <f>'Смета в налоговую'!G74</f>
        <v>4840</v>
      </c>
      <c r="H61" s="318">
        <f>'Смета в налоговую'!H74</f>
        <v>0</v>
      </c>
    </row>
    <row r="62" spans="1:10" hidden="1" thickBot="1" x14ac:dyDescent="0.35">
      <c r="A62" s="322"/>
      <c r="B62" s="284" t="str">
        <f>'Смета в налоговую'!B75</f>
        <v>Сборка оцилиндрованного бревна</v>
      </c>
      <c r="C62" s="284" t="str">
        <f>'Смета в налоговую'!C75</f>
        <v>Оцилиндрованное бревно ф24</v>
      </c>
      <c r="D62" s="284">
        <f>'Смета в налоговую'!D75</f>
        <v>0</v>
      </c>
      <c r="E62" s="284" t="str">
        <f>'Смета в налоговую'!E75</f>
        <v>м3</v>
      </c>
      <c r="F62" s="284">
        <f>'Смета в налоговую'!F75</f>
        <v>11000</v>
      </c>
      <c r="G62" s="284">
        <f>'Смета в налоговую'!G75</f>
        <v>4840</v>
      </c>
      <c r="H62" s="318">
        <f>'Смета в налоговую'!H75</f>
        <v>0</v>
      </c>
    </row>
    <row r="63" spans="1:10" ht="29.45" hidden="1" thickBot="1" x14ac:dyDescent="0.35">
      <c r="A63" s="322"/>
      <c r="B63" s="284" t="str">
        <f>'Смета в налоговую'!B76</f>
        <v>Сборка оцилиндрованного бревна</v>
      </c>
      <c r="C63" s="284" t="str">
        <f>'Смета в налоговую'!C76</f>
        <v>Оцилиндрованное бревно ф24 (финский профиль)</v>
      </c>
      <c r="D63" s="284">
        <f>'Смета в налоговую'!D76</f>
        <v>0</v>
      </c>
      <c r="E63" s="284" t="str">
        <f>'Смета в налоговую'!E76</f>
        <v>м3</v>
      </c>
      <c r="F63" s="284">
        <f>'Смета в налоговую'!F76</f>
        <v>0</v>
      </c>
      <c r="G63" s="284">
        <f>'Смета в налоговую'!G76</f>
        <v>0</v>
      </c>
      <c r="H63" s="318">
        <f>'Смета в налоговую'!H76</f>
        <v>0</v>
      </c>
    </row>
    <row r="64" spans="1:10" hidden="1" thickBot="1" x14ac:dyDescent="0.35">
      <c r="A64" s="322"/>
      <c r="B64" s="284" t="str">
        <f>'Смета в налоговую'!B77</f>
        <v>Сборка оцилиндрованного бревна</v>
      </c>
      <c r="C64" s="284" t="str">
        <f>'Смета в налоговую'!C77</f>
        <v>Оцилиндрованное бревно ф26</v>
      </c>
      <c r="D64" s="284">
        <f>'Смета в налоговую'!D77</f>
        <v>0</v>
      </c>
      <c r="E64" s="284" t="str">
        <f>'Смета в налоговую'!E77</f>
        <v>м3</v>
      </c>
      <c r="F64" s="284">
        <f>'Смета в налоговую'!F77</f>
        <v>0</v>
      </c>
      <c r="G64" s="284">
        <f>'Смета в налоговую'!G77</f>
        <v>0</v>
      </c>
      <c r="H64" s="318">
        <f>'Смета в налоговую'!H77</f>
        <v>0</v>
      </c>
    </row>
    <row r="65" spans="1:10" hidden="1" thickBot="1" x14ac:dyDescent="0.35">
      <c r="A65" s="323"/>
      <c r="B65" s="319" t="str">
        <f>'Смета в налоговую'!B78</f>
        <v>Антисептирование пиломатериала</v>
      </c>
      <c r="C65" s="319" t="str">
        <f>'Смета в налоговую'!C78</f>
        <v>Антисептик 3TREE BIO 10кг</v>
      </c>
      <c r="D65" s="319">
        <f>'Смета в налоговую'!D78</f>
        <v>1</v>
      </c>
      <c r="E65" s="319" t="str">
        <f>'Смета в налоговую'!E78</f>
        <v>компл.</v>
      </c>
      <c r="F65" s="319">
        <f>'Смета в налоговую'!F78</f>
        <v>920</v>
      </c>
      <c r="G65" s="319">
        <f>'Смета в налоговую'!G78</f>
        <v>404.8</v>
      </c>
      <c r="H65" s="320">
        <f>'Смета в налоговую'!H78</f>
        <v>1324.8</v>
      </c>
    </row>
    <row r="66" spans="1:10" s="65" customFormat="1" ht="15.75" thickBot="1" x14ac:dyDescent="0.3">
      <c r="A66" s="354">
        <f>A10+1</f>
        <v>3</v>
      </c>
      <c r="B66" s="615" t="s">
        <v>782</v>
      </c>
      <c r="C66" s="615"/>
      <c r="D66" s="626"/>
      <c r="E66" s="626"/>
      <c r="F66" s="626"/>
      <c r="G66" s="626"/>
      <c r="H66" s="627"/>
      <c r="J66" s="298"/>
    </row>
    <row r="67" spans="1:10" hidden="1" thickBot="1" x14ac:dyDescent="0.35">
      <c r="A67" s="292"/>
      <c r="B67" s="316" t="str">
        <f>'Смета в налоговую'!B80</f>
        <v>Устройство покрытия кровли</v>
      </c>
      <c r="C67" s="316" t="str">
        <f>'Смета в налоговую'!C80</f>
        <v>Оцинкованный профнастил</v>
      </c>
      <c r="D67" s="316">
        <f>'Смета в налоговую'!D80</f>
        <v>0</v>
      </c>
      <c r="E67" s="316" t="str">
        <f>'Смета в налоговую'!E80</f>
        <v>м2</v>
      </c>
      <c r="F67" s="316">
        <f>'Смета в налоговую'!F80</f>
        <v>488</v>
      </c>
      <c r="G67" s="316">
        <f>'Смета в налоговую'!G80</f>
        <v>214.72</v>
      </c>
      <c r="H67" s="317">
        <f>'Смета в налоговую'!H80</f>
        <v>0</v>
      </c>
    </row>
    <row r="68" spans="1:10" hidden="1" thickBot="1" x14ac:dyDescent="0.35">
      <c r="A68" s="308"/>
      <c r="B68" s="284" t="str">
        <f>'Смета в налоговую'!B81</f>
        <v>Устройство покрытия кровли</v>
      </c>
      <c r="C68" s="284" t="str">
        <f>'Смета в налоговую'!C81</f>
        <v>Крашенный профнастил</v>
      </c>
      <c r="D68" s="284">
        <f>'Смета в налоговую'!D81</f>
        <v>164</v>
      </c>
      <c r="E68" s="284" t="str">
        <f>'Смета в налоговую'!E81</f>
        <v>м2</v>
      </c>
      <c r="F68" s="284">
        <f>'Смета в налоговую'!F81</f>
        <v>713</v>
      </c>
      <c r="G68" s="284">
        <f>'Смета в налоговую'!G81</f>
        <v>313.72000000000003</v>
      </c>
      <c r="H68" s="318">
        <f>'Смета в налоговую'!H81</f>
        <v>168382.08000000002</v>
      </c>
    </row>
    <row r="69" spans="1:10" hidden="1" thickBot="1" x14ac:dyDescent="0.35">
      <c r="A69" s="308"/>
      <c r="B69" s="284" t="str">
        <f>'Смета в налоговую'!B82</f>
        <v>Устройство покрытия кровли</v>
      </c>
      <c r="C69" s="284" t="str">
        <f>'Смета в налоговую'!C82</f>
        <v>Металлочерепица</v>
      </c>
      <c r="D69" s="284">
        <f>'Смета в налоговую'!D82</f>
        <v>0</v>
      </c>
      <c r="E69" s="284" t="str">
        <f>'Смета в налоговую'!E82</f>
        <v>м2</v>
      </c>
      <c r="F69" s="284">
        <f>'Смета в налоговую'!F82</f>
        <v>750</v>
      </c>
      <c r="G69" s="284">
        <f>'Смета в налоговую'!G82</f>
        <v>330</v>
      </c>
      <c r="H69" s="318">
        <f>'Смета в налоговую'!H82</f>
        <v>0</v>
      </c>
    </row>
    <row r="70" spans="1:10" hidden="1" thickBot="1" x14ac:dyDescent="0.35">
      <c r="A70" s="308"/>
      <c r="B70" s="284" t="str">
        <f>'Смета в налоговую'!B83</f>
        <v>Устройство покрытия кровли</v>
      </c>
      <c r="C70" s="284" t="str">
        <f>'Смета в налоговую'!C83</f>
        <v>Гибкая черепица</v>
      </c>
      <c r="D70" s="284">
        <f>'Смета в налоговую'!D83</f>
        <v>0</v>
      </c>
      <c r="E70" s="284" t="str">
        <f>'Смета в налоговую'!E83</f>
        <v>м2</v>
      </c>
      <c r="F70" s="284">
        <f>'Смета в налоговую'!F83</f>
        <v>0</v>
      </c>
      <c r="G70" s="284">
        <f>'Смета в налоговую'!G83</f>
        <v>0</v>
      </c>
      <c r="H70" s="318">
        <f>'Смета в налоговую'!H83</f>
        <v>0</v>
      </c>
    </row>
    <row r="71" spans="1:10" ht="29.45" hidden="1" thickBot="1" x14ac:dyDescent="0.35">
      <c r="A71" s="308"/>
      <c r="B71" s="284" t="str">
        <f>'Смета в налоговую'!B84</f>
        <v>Устройство водосточной системы</v>
      </c>
      <c r="C71" s="284" t="str">
        <f>'Смета в налоговую'!C84</f>
        <v>Водосточная система ПВХ на металлических кронштейнах</v>
      </c>
      <c r="D71" s="284">
        <f>'Смета в налоговую'!D84</f>
        <v>1</v>
      </c>
      <c r="E71" s="284" t="str">
        <f>'Смета в налоговую'!E84</f>
        <v>компл.</v>
      </c>
      <c r="F71" s="284">
        <f>'Смета в налоговую'!F84</f>
        <v>0</v>
      </c>
      <c r="G71" s="284">
        <f>'Смета в налоговую'!G84</f>
        <v>0</v>
      </c>
      <c r="H71" s="318">
        <f>'Смета в налоговую'!H84</f>
        <v>0</v>
      </c>
    </row>
    <row r="72" spans="1:10" ht="29.45" hidden="1" thickBot="1" x14ac:dyDescent="0.35">
      <c r="A72" s="308"/>
      <c r="B72" s="284" t="str">
        <f>'Смета в налоговую'!B85</f>
        <v>Устройство водосточной системы</v>
      </c>
      <c r="C72" s="284" t="str">
        <f>'Смета в налоговую'!C85</f>
        <v>Водосточная система ПВХ на металлических кронштейнах</v>
      </c>
      <c r="D72" s="284">
        <f>'Смета в налоговую'!D85</f>
        <v>0</v>
      </c>
      <c r="E72" s="284" t="str">
        <f>'Смета в налоговую'!E85</f>
        <v>компл.</v>
      </c>
      <c r="F72" s="284">
        <f>'Смета в налоговую'!F85</f>
        <v>0</v>
      </c>
      <c r="G72" s="284">
        <f>'Смета в налоговую'!G85</f>
        <v>0</v>
      </c>
      <c r="H72" s="318">
        <f>'Смета в налоговую'!H85</f>
        <v>0</v>
      </c>
    </row>
    <row r="73" spans="1:10" hidden="1" thickBot="1" x14ac:dyDescent="0.35">
      <c r="A73" s="308"/>
      <c r="B73" s="284" t="str">
        <f>'Смета в налоговую'!B86</f>
        <v>Устройство снегозадержателя</v>
      </c>
      <c r="C73" s="284" t="str">
        <f>'Смета в налоговую'!C86</f>
        <v>Снегозадержатель</v>
      </c>
      <c r="D73" s="284">
        <f>'Смета в налоговую'!D86</f>
        <v>0</v>
      </c>
      <c r="E73" s="284" t="str">
        <f>'Смета в налоговую'!E86</f>
        <v>компл.</v>
      </c>
      <c r="F73" s="284">
        <f>'Смета в налоговую'!F86</f>
        <v>0</v>
      </c>
      <c r="G73" s="284">
        <f>'Смета в налоговую'!G86</f>
        <v>0</v>
      </c>
      <c r="H73" s="318">
        <f>'Смета в налоговую'!H86</f>
        <v>0</v>
      </c>
    </row>
    <row r="74" spans="1:10" hidden="1" thickBot="1" x14ac:dyDescent="0.35">
      <c r="A74" s="308"/>
      <c r="B74" s="284" t="str">
        <f>'Смета в налоговую'!B87</f>
        <v/>
      </c>
      <c r="C74" s="284" t="str">
        <f>'Смета в налоговую'!C87</f>
        <v>Сайдинг</v>
      </c>
      <c r="D74" s="284">
        <f>'Смета в налоговую'!D87</f>
        <v>0</v>
      </c>
      <c r="E74" s="284" t="str">
        <f>'Смета в налоговую'!E87</f>
        <v>м2</v>
      </c>
      <c r="F74" s="284">
        <f>'Смета в налоговую'!F87</f>
        <v>0</v>
      </c>
      <c r="G74" s="284">
        <f>'Смета в налоговую'!G87</f>
        <v>0</v>
      </c>
      <c r="H74" s="318">
        <f>'Смета в налоговую'!H87</f>
        <v>0</v>
      </c>
    </row>
    <row r="75" spans="1:10" hidden="1" thickBot="1" x14ac:dyDescent="0.35">
      <c r="A75" s="308"/>
      <c r="B75" s="284" t="str">
        <f>'Смета в налоговую'!B88</f>
        <v/>
      </c>
      <c r="C75" s="284" t="str">
        <f>'Смета в налоговую'!C88</f>
        <v>Вагонка 90х12,5 - 6м, Сорт АВ</v>
      </c>
      <c r="D75" s="284">
        <f>'Смета в налоговую'!D88</f>
        <v>0</v>
      </c>
      <c r="E75" s="284" t="str">
        <f>'Смета в налоговую'!E88</f>
        <v>м2</v>
      </c>
      <c r="F75" s="284">
        <f>'Смета в налоговую'!F88</f>
        <v>275</v>
      </c>
      <c r="G75" s="284">
        <f>'Смета в налоговую'!G88</f>
        <v>121.00000000000001</v>
      </c>
      <c r="H75" s="318">
        <f>'Смета в налоговую'!H88</f>
        <v>0</v>
      </c>
    </row>
    <row r="76" spans="1:10" hidden="1" thickBot="1" x14ac:dyDescent="0.35">
      <c r="A76" s="308"/>
      <c r="B76" s="284" t="str">
        <f>'Смета в налоговую'!B89</f>
        <v/>
      </c>
      <c r="C76" s="284" t="str">
        <f>'Смета в налоговую'!C89</f>
        <v>Вагонка 90х12,5 - 6м, Сорт Эконом</v>
      </c>
      <c r="D76" s="284">
        <f>'Смета в налоговую'!D89</f>
        <v>0</v>
      </c>
      <c r="E76" s="284" t="str">
        <f>'Смета в налоговую'!E89</f>
        <v>м2</v>
      </c>
      <c r="F76" s="284">
        <f>'Смета в налоговую'!F89</f>
        <v>194</v>
      </c>
      <c r="G76" s="284">
        <f>'Смета в налоговую'!G89</f>
        <v>85.36</v>
      </c>
      <c r="H76" s="318">
        <f>'Смета в налоговую'!H89</f>
        <v>0</v>
      </c>
    </row>
    <row r="77" spans="1:10" hidden="1" thickBot="1" x14ac:dyDescent="0.35">
      <c r="A77" s="308"/>
      <c r="B77" s="284" t="str">
        <f>'Смета в налоговую'!B90</f>
        <v/>
      </c>
      <c r="C77" s="284" t="str">
        <f>'Смета в налоговую'!C90</f>
        <v>Рау-хаус 135х16- 6м, Сорт АВ</v>
      </c>
      <c r="D77" s="284">
        <f>'Смета в налоговую'!D90</f>
        <v>99</v>
      </c>
      <c r="E77" s="284" t="str">
        <f>'Смета в налоговую'!E90</f>
        <v>м2</v>
      </c>
      <c r="F77" s="284">
        <f>'Смета в налоговую'!F90</f>
        <v>450</v>
      </c>
      <c r="G77" s="284">
        <f>'Смета в налоговую'!G90</f>
        <v>198.00000000000003</v>
      </c>
      <c r="H77" s="318">
        <f>'Смета в налоговую'!H90</f>
        <v>64152</v>
      </c>
    </row>
    <row r="78" spans="1:10" hidden="1" thickBot="1" x14ac:dyDescent="0.35">
      <c r="A78" s="308"/>
      <c r="B78" s="284" t="str">
        <f>'Смета в налоговую'!B91</f>
        <v/>
      </c>
      <c r="C78" s="284" t="str">
        <f>'Смета в налоговую'!C91</f>
        <v>Софит перфорированный 50/50</v>
      </c>
      <c r="D78" s="284">
        <f>'Смета в налоговую'!D91</f>
        <v>0</v>
      </c>
      <c r="E78" s="284" t="str">
        <f>'Смета в налоговую'!E91</f>
        <v>м2</v>
      </c>
      <c r="F78" s="284">
        <f>'Смета в налоговую'!F91</f>
        <v>0</v>
      </c>
      <c r="G78" s="284">
        <f>'Смета в налоговую'!G91</f>
        <v>0</v>
      </c>
      <c r="H78" s="318">
        <f>'Смета в налоговую'!H91</f>
        <v>0</v>
      </c>
    </row>
    <row r="79" spans="1:10" ht="29.45" hidden="1" thickBot="1" x14ac:dyDescent="0.35">
      <c r="A79" s="310"/>
      <c r="B79" s="319" t="str">
        <f>'Смета в налоговую'!B92</f>
        <v>Устройство вентиляционных решеток</v>
      </c>
      <c r="C79" s="319" t="str">
        <f>'Смета в налоговую'!C92</f>
        <v>Вентиляционная решетка</v>
      </c>
      <c r="D79" s="319">
        <f>'Смета в налоговую'!D92</f>
        <v>0</v>
      </c>
      <c r="E79" s="319" t="str">
        <f>'Смета в налоговую'!E92</f>
        <v>шт</v>
      </c>
      <c r="F79" s="319">
        <f>'Смета в налоговую'!F92</f>
        <v>500</v>
      </c>
      <c r="G79" s="319">
        <f>'Смета в налоговую'!G92</f>
        <v>220.00000000000003</v>
      </c>
      <c r="H79" s="320">
        <f>'Смета в налоговую'!H92</f>
        <v>0</v>
      </c>
    </row>
    <row r="80" spans="1:10" s="65" customFormat="1" ht="15.75" thickBot="1" x14ac:dyDescent="0.3">
      <c r="A80" s="353">
        <f>A66+1</f>
        <v>4</v>
      </c>
      <c r="B80" s="615" t="s">
        <v>894</v>
      </c>
      <c r="C80" s="615"/>
      <c r="D80" s="626"/>
      <c r="E80" s="626"/>
      <c r="F80" s="626"/>
      <c r="G80" s="626"/>
      <c r="H80" s="627"/>
      <c r="J80" s="298"/>
    </row>
    <row r="81" spans="1:13" ht="13.15" hidden="1" customHeight="1" x14ac:dyDescent="0.35">
      <c r="A81" s="292"/>
      <c r="B81" s="316" t="str">
        <f>'Смета в налоговую'!B94</f>
        <v xml:space="preserve">Гидроизоляция </v>
      </c>
      <c r="C81" s="316" t="str">
        <f>'Смета в налоговую'!C94</f>
        <v xml:space="preserve">Спанизол А </v>
      </c>
      <c r="D81" s="316">
        <f>'Смета в налоговую'!D94</f>
        <v>0</v>
      </c>
      <c r="E81" s="316" t="str">
        <f>'Смета в налоговую'!E94</f>
        <v>шт</v>
      </c>
      <c r="F81" s="316">
        <f>'Смета в налоговую'!F94</f>
        <v>938</v>
      </c>
      <c r="G81" s="316">
        <f>'Смета в налоговую'!G94</f>
        <v>412.72</v>
      </c>
      <c r="H81" s="317">
        <f>'Смета в налоговую'!H94</f>
        <v>0</v>
      </c>
    </row>
    <row r="82" spans="1:13" hidden="1" thickBot="1" x14ac:dyDescent="0.35">
      <c r="A82" s="308"/>
      <c r="B82" s="284" t="str">
        <f>'Смета в налоговую'!B95</f>
        <v>Пароизоляция</v>
      </c>
      <c r="C82" s="284" t="str">
        <f>'Смета в налоговую'!C95</f>
        <v>Фольгированная пароизоляция</v>
      </c>
      <c r="D82" s="284">
        <f>'Смета в налоговую'!D95</f>
        <v>0</v>
      </c>
      <c r="E82" s="284" t="str">
        <f>'Смета в налоговую'!E95</f>
        <v>шт</v>
      </c>
      <c r="F82" s="284">
        <f>'Смета в налоговую'!F95</f>
        <v>900</v>
      </c>
      <c r="G82" s="284">
        <f>'Смета в налоговую'!G95</f>
        <v>396.00000000000006</v>
      </c>
      <c r="H82" s="318">
        <f>'Смета в налоговую'!H95</f>
        <v>0</v>
      </c>
    </row>
    <row r="83" spans="1:13" hidden="1" thickBot="1" x14ac:dyDescent="0.35">
      <c r="A83" s="308"/>
      <c r="B83" s="284" t="str">
        <f>'Смета в налоговую'!B96</f>
        <v>Пароизоляция</v>
      </c>
      <c r="C83" s="284" t="str">
        <f>'Смета в налоговую'!C96</f>
        <v>Спанизол В</v>
      </c>
      <c r="D83" s="284">
        <f>'Смета в налоговую'!D96</f>
        <v>0</v>
      </c>
      <c r="E83" s="284" t="str">
        <f>'Смета в налоговую'!E96</f>
        <v>шт</v>
      </c>
      <c r="F83" s="284">
        <f>'Смета в налоговую'!F96</f>
        <v>788</v>
      </c>
      <c r="G83" s="284">
        <f>'Смета в налоговую'!G96</f>
        <v>346.72</v>
      </c>
      <c r="H83" s="318">
        <f>'Смета в налоговую'!H96</f>
        <v>0</v>
      </c>
    </row>
    <row r="84" spans="1:13" hidden="1" thickBot="1" x14ac:dyDescent="0.35">
      <c r="A84" s="308"/>
      <c r="B84" s="284" t="str">
        <f>'Смета в налоговую'!B97</f>
        <v>Гидроизоляция кровли</v>
      </c>
      <c r="C84" s="284" t="str">
        <f>'Смета в налоговую'!C97</f>
        <v>Спанизол АМ</v>
      </c>
      <c r="D84" s="284">
        <f>'Смета в налоговую'!D97</f>
        <v>0</v>
      </c>
      <c r="E84" s="284" t="str">
        <f>'Смета в налоговую'!E97</f>
        <v>шт</v>
      </c>
      <c r="F84" s="284">
        <f>'Смета в налоговую'!F97</f>
        <v>2313</v>
      </c>
      <c r="G84" s="284">
        <f>'Смета в налоговую'!G97</f>
        <v>1017.7200000000001</v>
      </c>
      <c r="H84" s="318">
        <f>'Смета в налоговую'!H97</f>
        <v>0</v>
      </c>
    </row>
    <row r="85" spans="1:13" hidden="1" thickBot="1" x14ac:dyDescent="0.35">
      <c r="A85" s="308"/>
      <c r="B85" s="284" t="str">
        <f>'Смета в налоговую'!B98</f>
        <v>Гидроизоляция кровли</v>
      </c>
      <c r="C85" s="284" t="str">
        <f>'Смета в налоговую'!C98</f>
        <v>Спанизол D</v>
      </c>
      <c r="D85" s="284">
        <f>'Смета в налоговую'!D98</f>
        <v>0</v>
      </c>
      <c r="E85" s="284" t="str">
        <f>'Смета в налоговую'!E98</f>
        <v>шт</v>
      </c>
      <c r="F85" s="284">
        <f>'Смета в налоговую'!F98</f>
        <v>875</v>
      </c>
      <c r="G85" s="284">
        <f>'Смета в налоговую'!G98</f>
        <v>385.00000000000006</v>
      </c>
      <c r="H85" s="318">
        <f>'Смета в налоговую'!H98</f>
        <v>0</v>
      </c>
    </row>
    <row r="86" spans="1:13" hidden="1" thickBot="1" x14ac:dyDescent="0.35">
      <c r="A86" s="308"/>
      <c r="B86" s="284" t="str">
        <f>'Смета в налоговую'!B99</f>
        <v xml:space="preserve">Гидроизоляция </v>
      </c>
      <c r="C86" s="284" t="str">
        <f>'Смета в налоговую'!C99</f>
        <v>Ondutiss Smart A</v>
      </c>
      <c r="D86" s="284">
        <f>'Смета в налоговую'!D99</f>
        <v>3</v>
      </c>
      <c r="E86" s="284" t="str">
        <f>'Смета в налоговую'!E99</f>
        <v>шт</v>
      </c>
      <c r="F86" s="284">
        <f>'Смета в налоговую'!F99</f>
        <v>2194</v>
      </c>
      <c r="G86" s="284">
        <f>'Смета в налоговую'!G99</f>
        <v>965.36000000000013</v>
      </c>
      <c r="H86" s="318">
        <f>'Смета в налоговую'!H99</f>
        <v>9478.08</v>
      </c>
    </row>
    <row r="87" spans="1:13" hidden="1" thickBot="1" x14ac:dyDescent="0.35">
      <c r="A87" s="308"/>
      <c r="B87" s="284" t="str">
        <f>'Смета в налоговую'!B100</f>
        <v>Пароизоляция</v>
      </c>
      <c r="C87" s="284" t="str">
        <f>'Смета в налоговую'!C100</f>
        <v>Ondutiss Smart B</v>
      </c>
      <c r="D87" s="284">
        <f>'Смета в налоговую'!D100</f>
        <v>0.5</v>
      </c>
      <c r="E87" s="284" t="str">
        <f>'Смета в налоговую'!E100</f>
        <v>шт</v>
      </c>
      <c r="F87" s="284">
        <f>'Смета в налоговую'!F100</f>
        <v>1735</v>
      </c>
      <c r="G87" s="284">
        <f>'Смета в налоговую'!G100</f>
        <v>763.40000000000009</v>
      </c>
      <c r="H87" s="318">
        <f>'Смета в налоговую'!H100</f>
        <v>1249.2</v>
      </c>
    </row>
    <row r="88" spans="1:13" hidden="1" thickBot="1" x14ac:dyDescent="0.35">
      <c r="A88" s="310"/>
      <c r="B88" s="319" t="str">
        <f>'Смета в налоговую'!B101</f>
        <v>Гидроизоляция кровли</v>
      </c>
      <c r="C88" s="319" t="str">
        <f>'Смета в налоговую'!C101</f>
        <v>Ondutiss Smart SA</v>
      </c>
      <c r="D88" s="319">
        <f>'Смета в налоговую'!D101</f>
        <v>3</v>
      </c>
      <c r="E88" s="319" t="str">
        <f>'Смета в налоговую'!E101</f>
        <v>шт</v>
      </c>
      <c r="F88" s="319">
        <f>'Смета в налоговую'!F101</f>
        <v>3905</v>
      </c>
      <c r="G88" s="319">
        <f>'Смета в налоговую'!G101</f>
        <v>1718.2</v>
      </c>
      <c r="H88" s="320">
        <f>'Смета в налоговую'!H101</f>
        <v>16869.599999999999</v>
      </c>
    </row>
    <row r="89" spans="1:13" s="65" customFormat="1" ht="15.75" thickBot="1" x14ac:dyDescent="0.3">
      <c r="A89" s="353">
        <f>A80+1</f>
        <v>5</v>
      </c>
      <c r="B89" s="615" t="s">
        <v>810</v>
      </c>
      <c r="C89" s="615"/>
      <c r="D89" s="626"/>
      <c r="E89" s="626"/>
      <c r="F89" s="626"/>
      <c r="G89" s="626"/>
      <c r="H89" s="627"/>
      <c r="J89" s="298"/>
    </row>
    <row r="90" spans="1:13" ht="29.45" hidden="1" thickBot="1" x14ac:dyDescent="0.35">
      <c r="A90" s="292"/>
      <c r="B90" s="316" t="str">
        <f>'Смета в налоговую'!B103</f>
        <v/>
      </c>
      <c r="C90" s="316" t="str">
        <f>'Смета в налоговую'!C103</f>
        <v>Рулонная минеральная вата (ISOVER, 0,036Вт/м*К)</v>
      </c>
      <c r="D90" s="316">
        <f>'Смета в налоговую'!D103</f>
        <v>29.7</v>
      </c>
      <c r="E90" s="316" t="str">
        <f>'Смета в налоговую'!E103</f>
        <v>м3</v>
      </c>
      <c r="F90" s="316">
        <f>'Смета в налоговую'!F103</f>
        <v>1382</v>
      </c>
      <c r="G90" s="316">
        <f>'Смета в налоговую'!G103</f>
        <v>608.08000000000004</v>
      </c>
      <c r="H90" s="317">
        <f>'Смета в налоговую'!H103</f>
        <v>59105.375999999997</v>
      </c>
    </row>
    <row r="91" spans="1:13" ht="29.45" hidden="1" thickBot="1" x14ac:dyDescent="0.35">
      <c r="A91" s="308"/>
      <c r="B91" s="284" t="str">
        <f>'Смета в налоговую'!B104</f>
        <v/>
      </c>
      <c r="C91" s="284" t="str">
        <f>'Смета в налоговую'!C104</f>
        <v>Плитная минеральная вата (ISOVER, низкой плотности, 0,035Вт/м*К)</v>
      </c>
      <c r="D91" s="284">
        <f>'Смета в налоговую'!D104</f>
        <v>0</v>
      </c>
      <c r="E91" s="284" t="str">
        <f>'Смета в налоговую'!E104</f>
        <v>м3</v>
      </c>
      <c r="F91" s="284">
        <f>'Смета в налоговую'!F104</f>
        <v>1680</v>
      </c>
      <c r="G91" s="284">
        <f>'Смета в налоговую'!G104</f>
        <v>739.2</v>
      </c>
      <c r="H91" s="318">
        <f>'Смета в налоговую'!H104</f>
        <v>0</v>
      </c>
    </row>
    <row r="92" spans="1:13" ht="29.45" hidden="1" thickBot="1" x14ac:dyDescent="0.35">
      <c r="A92" s="308"/>
      <c r="B92" s="284" t="str">
        <f>'Смета в налоговую'!B105</f>
        <v/>
      </c>
      <c r="C92" s="284" t="str">
        <f>'Смета в налоговую'!C105</f>
        <v>Плитная минеральная вата (ISOVER, средней плотности, 0,034Вт/м*К)</v>
      </c>
      <c r="D92" s="284">
        <f>'Смета в налоговую'!D105</f>
        <v>0</v>
      </c>
      <c r="E92" s="284" t="str">
        <f>'Смета в налоговую'!E105</f>
        <v>м3</v>
      </c>
      <c r="F92" s="284">
        <f>'Смета в налоговую'!F105</f>
        <v>1680</v>
      </c>
      <c r="G92" s="284">
        <f>'Смета в налоговую'!G105</f>
        <v>739.2</v>
      </c>
      <c r="H92" s="318">
        <f>'Смета в налоговую'!H105</f>
        <v>0</v>
      </c>
    </row>
    <row r="93" spans="1:13" hidden="1" thickBot="1" x14ac:dyDescent="0.35">
      <c r="A93" s="310"/>
      <c r="B93" s="319" t="str">
        <f>'Смета в налоговую'!B106</f>
        <v/>
      </c>
      <c r="C93" s="319" t="str">
        <f>'Смета в налоговую'!C106</f>
        <v>Пенополистерол 1180х580х50мм</v>
      </c>
      <c r="D93" s="319">
        <f>'Смета в налоговую'!D106</f>
        <v>0</v>
      </c>
      <c r="E93" s="319" t="str">
        <f>'Смета в налоговую'!E106</f>
        <v>м3</v>
      </c>
      <c r="F93" s="319">
        <f>'Смета в налоговую'!F106</f>
        <v>4862</v>
      </c>
      <c r="G93" s="319">
        <f>'Смета в налоговую'!G106</f>
        <v>2139.2800000000002</v>
      </c>
      <c r="H93" s="320">
        <f>'Смета в налоговую'!H106</f>
        <v>0</v>
      </c>
    </row>
    <row r="94" spans="1:13" s="65" customFormat="1" ht="15.75" thickBot="1" x14ac:dyDescent="0.3">
      <c r="A94" s="353">
        <f>A89+1</f>
        <v>6</v>
      </c>
      <c r="B94" s="615" t="s">
        <v>817</v>
      </c>
      <c r="C94" s="615"/>
      <c r="D94" s="626"/>
      <c r="E94" s="626"/>
      <c r="F94" s="626"/>
      <c r="G94" s="626"/>
      <c r="H94" s="627"/>
      <c r="J94" s="298"/>
    </row>
    <row r="95" spans="1:13" hidden="1" thickBot="1" x14ac:dyDescent="0.35">
      <c r="A95" s="292"/>
      <c r="B95" s="316" t="str">
        <f>'Смета в налоговую'!B108</f>
        <v/>
      </c>
      <c r="C95" s="316" t="str">
        <f>'Смета в налоговую'!C108</f>
        <v>Рау-хаус 135х16- 6м, Сорт АВ</v>
      </c>
      <c r="D95" s="316">
        <f>'Смета в налоговую'!D108</f>
        <v>141</v>
      </c>
      <c r="E95" s="316" t="str">
        <f>'Смета в налоговую'!E108</f>
        <v>м2</v>
      </c>
      <c r="F95" s="316">
        <f>'Смета в налоговую'!F108</f>
        <v>450</v>
      </c>
      <c r="G95" s="316">
        <f>'Смета в налоговую'!G108</f>
        <v>198.00000000000003</v>
      </c>
      <c r="H95" s="317">
        <f>'Смета в налоговую'!H108</f>
        <v>91368</v>
      </c>
      <c r="J95" s="299" t="s">
        <v>862</v>
      </c>
      <c r="K95" s="65"/>
      <c r="L95" s="65"/>
      <c r="M95" s="65"/>
    </row>
    <row r="96" spans="1:13" hidden="1" thickBot="1" x14ac:dyDescent="0.35">
      <c r="A96" s="308"/>
      <c r="B96" s="284" t="str">
        <f>'Смета в налоговую'!B109</f>
        <v/>
      </c>
      <c r="C96" s="284" t="str">
        <f>'Смета в налоговую'!C109</f>
        <v>Рау-хаус 110х16- 6м, Сорт АВ</v>
      </c>
      <c r="D96" s="284">
        <f>'Смета в налоговую'!D109</f>
        <v>0</v>
      </c>
      <c r="E96" s="284" t="str">
        <f>'Смета в налоговую'!E109</f>
        <v>м2</v>
      </c>
      <c r="F96" s="284">
        <f>'Смета в налоговую'!F109</f>
        <v>450</v>
      </c>
      <c r="G96" s="284">
        <f>'Смета в налоговую'!G109</f>
        <v>198.00000000000003</v>
      </c>
      <c r="H96" s="318">
        <f>'Смета в налоговую'!H109</f>
        <v>0</v>
      </c>
      <c r="J96" s="299" t="s">
        <v>862</v>
      </c>
      <c r="K96" s="65"/>
      <c r="L96" s="65"/>
      <c r="M96" s="65"/>
    </row>
    <row r="97" spans="1:13" hidden="1" thickBot="1" x14ac:dyDescent="0.35">
      <c r="A97" s="308"/>
      <c r="B97" s="284" t="str">
        <f>'Смета в налоговую'!B110</f>
        <v/>
      </c>
      <c r="C97" s="284" t="str">
        <f>'Смета в налоговую'!C110</f>
        <v>Террасная доска 112х24 - 6м, Сорт АВ</v>
      </c>
      <c r="D97" s="284">
        <f>'Смета в налоговую'!D110</f>
        <v>0</v>
      </c>
      <c r="E97" s="284" t="str">
        <f>'Смета в налоговую'!E110</f>
        <v>м2</v>
      </c>
      <c r="F97" s="284">
        <f>'Смета в налоговую'!F110</f>
        <v>525</v>
      </c>
      <c r="G97" s="284">
        <f>'Смета в налоговую'!G110</f>
        <v>231.00000000000003</v>
      </c>
      <c r="H97" s="318">
        <f>'Смета в налоговую'!H110</f>
        <v>0</v>
      </c>
      <c r="J97" s="298"/>
      <c r="K97" s="65"/>
      <c r="L97" s="65"/>
      <c r="M97" s="65"/>
    </row>
    <row r="98" spans="1:13" hidden="1" thickBot="1" x14ac:dyDescent="0.35">
      <c r="A98" s="308"/>
      <c r="B98" s="284" t="str">
        <f>'Смета в налоговую'!B111</f>
        <v/>
      </c>
      <c r="C98" s="284" t="str">
        <f>'Смета в налоговую'!C111</f>
        <v>Калибровка 140х35- 6м</v>
      </c>
      <c r="D98" s="284">
        <f>'Смета в налоговую'!D111</f>
        <v>0</v>
      </c>
      <c r="E98" s="284" t="str">
        <f>'Смета в налоговую'!E111</f>
        <v>шт</v>
      </c>
      <c r="F98" s="284">
        <f>'Смета в налоговую'!F111</f>
        <v>625</v>
      </c>
      <c r="G98" s="284">
        <f>'Смета в налоговую'!G111</f>
        <v>275</v>
      </c>
      <c r="H98" s="318">
        <f>'Смета в налоговую'!H111</f>
        <v>0</v>
      </c>
      <c r="J98" s="298"/>
      <c r="K98" s="65"/>
      <c r="L98" s="65"/>
      <c r="M98" s="65"/>
    </row>
    <row r="99" spans="1:13" hidden="1" thickBot="1" x14ac:dyDescent="0.35">
      <c r="A99" s="308"/>
      <c r="B99" s="284" t="str">
        <f>'Смета в налоговую'!B112</f>
        <v/>
      </c>
      <c r="C99" s="284" t="str">
        <f>'Смета в налоговую'!C112</f>
        <v>Шпунтовка 90х26 - 6м, Сорт АВ</v>
      </c>
      <c r="D99" s="284">
        <f>'Смета в налоговую'!D112</f>
        <v>0</v>
      </c>
      <c r="E99" s="284" t="str">
        <f>'Смета в налоговую'!E112</f>
        <v>м2</v>
      </c>
      <c r="F99" s="284">
        <f>'Смета в налоговую'!F112</f>
        <v>525</v>
      </c>
      <c r="G99" s="284">
        <f>'Смета в налоговую'!G112</f>
        <v>231.00000000000003</v>
      </c>
      <c r="H99" s="318">
        <f>'Смета в налоговую'!H112</f>
        <v>0</v>
      </c>
      <c r="J99" s="298"/>
      <c r="K99" s="65"/>
      <c r="L99" s="65"/>
      <c r="M99" s="65"/>
    </row>
    <row r="100" spans="1:13" hidden="1" thickBot="1" x14ac:dyDescent="0.35">
      <c r="A100" s="308"/>
      <c r="B100" s="284" t="str">
        <f>'Смета в налоговую'!B113</f>
        <v/>
      </c>
      <c r="C100" s="284" t="str">
        <f>'Смета в налоговую'!C113</f>
        <v>Шпунтовка 135х35 - 6м, Сорт АВ</v>
      </c>
      <c r="D100" s="284">
        <f>'Смета в налоговую'!D113</f>
        <v>0</v>
      </c>
      <c r="E100" s="284" t="str">
        <f>'Смета в налоговую'!E113</f>
        <v>м2</v>
      </c>
      <c r="F100" s="284">
        <f>'Смета в налоговую'!F113</f>
        <v>700</v>
      </c>
      <c r="G100" s="284">
        <f>'Смета в налоговую'!G113</f>
        <v>308</v>
      </c>
      <c r="H100" s="318">
        <f>'Смета в налоговую'!H113</f>
        <v>0</v>
      </c>
      <c r="J100" s="298"/>
      <c r="K100" s="65"/>
      <c r="L100" s="65"/>
      <c r="M100" s="65"/>
    </row>
    <row r="101" spans="1:13" hidden="1" thickBot="1" x14ac:dyDescent="0.35">
      <c r="A101" s="308"/>
      <c r="B101" s="284" t="str">
        <f>'Смета в налоговую'!B114</f>
        <v/>
      </c>
      <c r="C101" s="284" t="str">
        <f>'Смета в налоговую'!C114</f>
        <v>ОСБ-3 9мм</v>
      </c>
      <c r="D101" s="284">
        <f>'Смета в налоговую'!D114</f>
        <v>0</v>
      </c>
      <c r="E101" s="284" t="str">
        <f>'Смета в налоговую'!E114</f>
        <v>шт</v>
      </c>
      <c r="F101" s="284">
        <f>'Смета в налоговую'!F114</f>
        <v>813</v>
      </c>
      <c r="G101" s="284">
        <f>'Смета в налоговую'!G114</f>
        <v>357.72</v>
      </c>
      <c r="H101" s="318">
        <f>'Смета в налоговую'!H114</f>
        <v>0</v>
      </c>
      <c r="J101" s="298"/>
      <c r="K101" s="65"/>
      <c r="L101" s="65"/>
      <c r="M101" s="65"/>
    </row>
    <row r="102" spans="1:13" hidden="1" thickBot="1" x14ac:dyDescent="0.35">
      <c r="A102" s="308"/>
      <c r="B102" s="284" t="str">
        <f>'Смета в налоговую'!B115</f>
        <v/>
      </c>
      <c r="C102" s="284" t="str">
        <f>'Смета в налоговую'!C115</f>
        <v>ОСБ-3 12мм</v>
      </c>
      <c r="D102" s="284">
        <f>'Смета в налоговую'!D115</f>
        <v>0</v>
      </c>
      <c r="E102" s="284" t="str">
        <f>'Смета в налоговую'!E115</f>
        <v>шт</v>
      </c>
      <c r="F102" s="284">
        <f>'Смета в налоговую'!F115</f>
        <v>1063</v>
      </c>
      <c r="G102" s="284">
        <f>'Смета в налоговую'!G115</f>
        <v>467.72</v>
      </c>
      <c r="H102" s="318">
        <f>'Смета в налоговую'!H115</f>
        <v>0</v>
      </c>
      <c r="J102" s="298"/>
      <c r="K102" s="65"/>
      <c r="L102" s="65"/>
      <c r="M102" s="65"/>
    </row>
    <row r="103" spans="1:13" hidden="1" thickBot="1" x14ac:dyDescent="0.35">
      <c r="A103" s="308"/>
      <c r="B103" s="284" t="str">
        <f>'Смета в налоговую'!B116</f>
        <v/>
      </c>
      <c r="C103" s="284" t="str">
        <f>'Смета в налоговую'!C116</f>
        <v>Фанера 12</v>
      </c>
      <c r="D103" s="284">
        <f>'Смета в налоговую'!D116</f>
        <v>0</v>
      </c>
      <c r="E103" s="284" t="str">
        <f>'Смета в налоговую'!E116</f>
        <v>шт</v>
      </c>
      <c r="F103" s="284">
        <f>'Смета в налоговую'!F116</f>
        <v>1088</v>
      </c>
      <c r="G103" s="284">
        <f>'Смета в налоговую'!G116</f>
        <v>478.72</v>
      </c>
      <c r="H103" s="318">
        <f>'Смета в налоговую'!H116</f>
        <v>0</v>
      </c>
      <c r="J103" s="298"/>
      <c r="K103" s="65"/>
      <c r="L103" s="65"/>
      <c r="M103" s="65"/>
    </row>
    <row r="104" spans="1:13" hidden="1" thickBot="1" x14ac:dyDescent="0.35">
      <c r="A104" s="308"/>
      <c r="B104" s="284" t="str">
        <f>'Смета в налоговую'!B117</f>
        <v/>
      </c>
      <c r="C104" s="284" t="str">
        <f>'Смета в налоговую'!C117</f>
        <v>ЦСП 10</v>
      </c>
      <c r="D104" s="284">
        <f>'Смета в налоговую'!D117</f>
        <v>0</v>
      </c>
      <c r="E104" s="284" t="str">
        <f>'Смета в налоговую'!E117</f>
        <v>шт</v>
      </c>
      <c r="F104" s="284">
        <f>'Смета в налоговую'!F117</f>
        <v>1150</v>
      </c>
      <c r="G104" s="284">
        <f>'Смета в налоговую'!G117</f>
        <v>506.00000000000006</v>
      </c>
      <c r="H104" s="318">
        <f>'Смета в налоговую'!H117</f>
        <v>0</v>
      </c>
      <c r="J104" s="298"/>
      <c r="K104" s="65"/>
      <c r="L104" s="65"/>
      <c r="M104" s="65"/>
    </row>
    <row r="105" spans="1:13" hidden="1" thickBot="1" x14ac:dyDescent="0.35">
      <c r="A105" s="308"/>
      <c r="B105" s="284" t="str">
        <f>'Смета в налоговую'!B118</f>
        <v/>
      </c>
      <c r="C105" s="284" t="str">
        <f>'Смета в налоговую'!C118</f>
        <v>ЦСП 12</v>
      </c>
      <c r="D105" s="284">
        <f>'Смета в налоговую'!D118</f>
        <v>0</v>
      </c>
      <c r="E105" s="284" t="str">
        <f>'Смета в налоговую'!E118</f>
        <v>шт</v>
      </c>
      <c r="F105" s="284">
        <f>'Смета в налоговую'!F118</f>
        <v>1438</v>
      </c>
      <c r="G105" s="284">
        <f>'Смета в налоговую'!G118</f>
        <v>632.72000000000014</v>
      </c>
      <c r="H105" s="318">
        <f>'Смета в налоговую'!H118</f>
        <v>0</v>
      </c>
      <c r="J105" s="298"/>
      <c r="K105" s="65"/>
      <c r="L105" s="65"/>
      <c r="M105" s="65"/>
    </row>
    <row r="106" spans="1:13" hidden="1" thickBot="1" x14ac:dyDescent="0.35">
      <c r="A106" s="308"/>
      <c r="B106" s="284" t="str">
        <f>'Смета в налоговую'!B119</f>
        <v/>
      </c>
      <c r="C106" s="284" t="str">
        <f>'Смета в налоговую'!C119</f>
        <v>Гипрок Стронг 15мм</v>
      </c>
      <c r="D106" s="284">
        <f>'Смета в налоговую'!D119</f>
        <v>0</v>
      </c>
      <c r="E106" s="284" t="str">
        <f>'Смета в налоговую'!E119</f>
        <v>шт</v>
      </c>
      <c r="F106" s="284">
        <f>'Смета в налоговую'!F119</f>
        <v>450</v>
      </c>
      <c r="G106" s="284">
        <f>'Смета в налоговую'!G119</f>
        <v>198.00000000000003</v>
      </c>
      <c r="H106" s="318">
        <f>'Смета в налоговую'!H119</f>
        <v>0</v>
      </c>
      <c r="J106" s="298"/>
      <c r="K106" s="65"/>
      <c r="L106" s="65"/>
      <c r="M106" s="65"/>
    </row>
    <row r="107" spans="1:13" hidden="1" thickBot="1" x14ac:dyDescent="0.35">
      <c r="A107" s="308"/>
      <c r="B107" s="284" t="str">
        <f>'Смета в налоговую'!B120</f>
        <v/>
      </c>
      <c r="C107" s="284" t="str">
        <f>'Смета в налоговую'!C120</f>
        <v>Гипрок Стронг Аква 15мм</v>
      </c>
      <c r="D107" s="284">
        <f>'Смета в налоговую'!D120</f>
        <v>0</v>
      </c>
      <c r="E107" s="284" t="str">
        <f>'Смета в налоговую'!E120</f>
        <v>шт</v>
      </c>
      <c r="F107" s="284">
        <f>'Смета в налоговую'!F120</f>
        <v>488</v>
      </c>
      <c r="G107" s="284">
        <f>'Смета в налоговую'!G120</f>
        <v>214.72</v>
      </c>
      <c r="H107" s="318">
        <f>'Смета в налоговую'!H120</f>
        <v>0</v>
      </c>
      <c r="J107" s="298"/>
      <c r="K107" s="65"/>
      <c r="L107" s="65"/>
      <c r="M107" s="65"/>
    </row>
    <row r="108" spans="1:13" hidden="1" thickBot="1" x14ac:dyDescent="0.35">
      <c r="A108" s="308"/>
      <c r="B108" s="284" t="str">
        <f>'Смета в налоговую'!B121</f>
        <v/>
      </c>
      <c r="C108" s="284" t="str">
        <f>'Смета в налоговую'!C121</f>
        <v>GTS, 9,5мм</v>
      </c>
      <c r="D108" s="284">
        <f>'Смета в налоговую'!D121</f>
        <v>0</v>
      </c>
      <c r="E108" s="284" t="str">
        <f>'Смета в налоговую'!E121</f>
        <v>шт</v>
      </c>
      <c r="F108" s="284">
        <f>'Смета в налоговую'!F121</f>
        <v>338</v>
      </c>
      <c r="G108" s="284">
        <f>'Смета в налоговую'!G121</f>
        <v>148.72</v>
      </c>
      <c r="H108" s="318">
        <f>'Смета в налоговую'!H121</f>
        <v>0</v>
      </c>
      <c r="J108" s="298"/>
      <c r="K108" s="65"/>
      <c r="L108" s="65"/>
      <c r="M108" s="65"/>
    </row>
    <row r="109" spans="1:13" hidden="1" thickBot="1" x14ac:dyDescent="0.35">
      <c r="A109" s="308"/>
      <c r="B109" s="284" t="str">
        <f>'Смета в налоговую'!B122</f>
        <v/>
      </c>
      <c r="C109" s="284" t="str">
        <f>'Смета в налоговую'!C122</f>
        <v>Гипрок Лайт Аква 9,5мм</v>
      </c>
      <c r="D109" s="284">
        <f>'Смета в налоговую'!D122</f>
        <v>0</v>
      </c>
      <c r="E109" s="284" t="str">
        <f>'Смета в налоговую'!E122</f>
        <v>шт</v>
      </c>
      <c r="F109" s="284">
        <f>'Смета в налоговую'!F122</f>
        <v>375</v>
      </c>
      <c r="G109" s="284">
        <f>'Смета в налоговую'!G122</f>
        <v>165</v>
      </c>
      <c r="H109" s="318">
        <f>'Смета в налоговую'!H122</f>
        <v>0</v>
      </c>
      <c r="J109" s="298"/>
      <c r="K109" s="65"/>
      <c r="L109" s="65"/>
      <c r="M109" s="65"/>
    </row>
    <row r="110" spans="1:13" hidden="1" thickBot="1" x14ac:dyDescent="0.35">
      <c r="A110" s="308"/>
      <c r="B110" s="284" t="str">
        <f>'Смета в налоговую'!B123</f>
        <v/>
      </c>
      <c r="C110" s="284" t="str">
        <f>'Смета в налоговую'!C123</f>
        <v>Сайдинг Docke Lux Блок-Хаус</v>
      </c>
      <c r="D110" s="284">
        <f>'Смета в налоговую'!D123</f>
        <v>0</v>
      </c>
      <c r="E110" s="284" t="str">
        <f>'Смета в налоговую'!E123</f>
        <v>м2</v>
      </c>
      <c r="F110" s="284">
        <f>'Смета в налоговую'!F123</f>
        <v>0</v>
      </c>
      <c r="G110" s="284">
        <f>'Смета в налоговую'!G123</f>
        <v>0</v>
      </c>
      <c r="H110" s="318">
        <f>'Смета в налоговую'!H123</f>
        <v>0</v>
      </c>
      <c r="J110" s="298"/>
      <c r="K110" s="65"/>
      <c r="L110" s="65"/>
      <c r="M110" s="65"/>
    </row>
    <row r="111" spans="1:13" ht="29.45" hidden="1" thickBot="1" x14ac:dyDescent="0.35">
      <c r="A111" s="308"/>
      <c r="B111" s="284" t="str">
        <f>'Смета в налоговую'!B124</f>
        <v/>
      </c>
      <c r="C111" s="284" t="str">
        <f>'Смета в налоговую'!C124</f>
        <v>Панель Vox Solid Brick Regular (цвет - York)</v>
      </c>
      <c r="D111" s="284">
        <f>'Смета в налоговую'!D124</f>
        <v>0</v>
      </c>
      <c r="E111" s="284" t="str">
        <f>'Смета в налоговую'!E124</f>
        <v>м2</v>
      </c>
      <c r="F111" s="284">
        <f>'Смета в налоговую'!F124</f>
        <v>0</v>
      </c>
      <c r="G111" s="284">
        <f>'Смета в налоговую'!G124</f>
        <v>0</v>
      </c>
      <c r="H111" s="318">
        <f>'Смета в налоговую'!H124</f>
        <v>0</v>
      </c>
      <c r="J111" s="298"/>
      <c r="K111" s="65"/>
      <c r="L111" s="65"/>
      <c r="M111" s="65"/>
    </row>
    <row r="112" spans="1:13" ht="29.45" hidden="1" thickBot="1" x14ac:dyDescent="0.35">
      <c r="A112" s="308"/>
      <c r="B112" s="284" t="str">
        <f>'Смета в налоговую'!B125</f>
        <v/>
      </c>
      <c r="C112" s="284" t="str">
        <f>'Смета в налоговую'!C125</f>
        <v>HAUBERK ТЕХНОНИКОЛЬ Терракотовый кирпич</v>
      </c>
      <c r="D112" s="284">
        <f>'Смета в налоговую'!D125</f>
        <v>0</v>
      </c>
      <c r="E112" s="284" t="str">
        <f>'Смета в налоговую'!E125</f>
        <v>м2</v>
      </c>
      <c r="F112" s="284">
        <f>'Смета в налоговую'!F125</f>
        <v>0</v>
      </c>
      <c r="G112" s="284">
        <f>'Смета в налоговую'!G125</f>
        <v>0</v>
      </c>
      <c r="H112" s="318">
        <f>'Смета в налоговую'!H125</f>
        <v>0</v>
      </c>
      <c r="J112" s="298"/>
      <c r="K112" s="65"/>
      <c r="L112" s="65"/>
      <c r="M112" s="65"/>
    </row>
    <row r="113" spans="1:13" hidden="1" thickBot="1" x14ac:dyDescent="0.35">
      <c r="A113" s="308"/>
      <c r="B113" s="284" t="str">
        <f>'Смета в налоговую'!B126</f>
        <v/>
      </c>
      <c r="C113" s="284" t="str">
        <f>'Смета в налоговую'!C126</f>
        <v>Рау-хаус 185х21- 6м, Сорт АВ</v>
      </c>
      <c r="D113" s="284">
        <f>'Смета в налоговую'!D126</f>
        <v>0</v>
      </c>
      <c r="E113" s="284" t="str">
        <f>'Смета в налоговую'!E126</f>
        <v>м2</v>
      </c>
      <c r="F113" s="284">
        <f>'Смета в налоговую'!F126</f>
        <v>500</v>
      </c>
      <c r="G113" s="284">
        <f>'Смета в налоговую'!G126</f>
        <v>220.00000000000003</v>
      </c>
      <c r="H113" s="318">
        <f>'Смета в налоговую'!H126</f>
        <v>0</v>
      </c>
      <c r="J113" s="300"/>
      <c r="K113" s="65"/>
      <c r="L113" s="65"/>
      <c r="M113" s="65"/>
    </row>
    <row r="114" spans="1:13" hidden="1" thickBot="1" x14ac:dyDescent="0.35">
      <c r="A114" s="308"/>
      <c r="B114" s="284" t="str">
        <f>'Смета в налоговую'!B127</f>
        <v/>
      </c>
      <c r="C114" s="284" t="str">
        <f>'Смета в налоговую'!C127</f>
        <v>Финский профиль, С (0,135)</v>
      </c>
      <c r="D114" s="284">
        <f>'Смета в налоговую'!D127</f>
        <v>0</v>
      </c>
      <c r="E114" s="284" t="str">
        <f>'Смета в налоговую'!E127</f>
        <v>м2</v>
      </c>
      <c r="F114" s="284">
        <f>'Смета в налоговую'!F127</f>
        <v>0</v>
      </c>
      <c r="G114" s="284">
        <f>'Смета в налоговую'!G127</f>
        <v>0</v>
      </c>
      <c r="H114" s="318">
        <f>'Смета в налоговую'!H127</f>
        <v>0</v>
      </c>
      <c r="J114" s="298"/>
      <c r="K114" s="65"/>
      <c r="L114" s="65"/>
      <c r="M114" s="65"/>
    </row>
    <row r="115" spans="1:13" hidden="1" thickBot="1" x14ac:dyDescent="0.35">
      <c r="A115" s="308"/>
      <c r="B115" s="284" t="str">
        <f>'Смета в налоговую'!B128</f>
        <v/>
      </c>
      <c r="C115" s="284" t="str">
        <f>'Смета в налоговую'!C128</f>
        <v>Блок-хаус, АВ (0,135)</v>
      </c>
      <c r="D115" s="284">
        <f>'Смета в налоговую'!D128</f>
        <v>0</v>
      </c>
      <c r="E115" s="284" t="str">
        <f>'Смета в налоговую'!E128</f>
        <v>м2</v>
      </c>
      <c r="F115" s="284">
        <f>'Смета в налоговую'!F128</f>
        <v>688</v>
      </c>
      <c r="G115" s="284">
        <f>'Смета в налоговую'!G128</f>
        <v>302.72000000000003</v>
      </c>
      <c r="H115" s="318">
        <f>'Смета в налоговую'!H128</f>
        <v>0</v>
      </c>
      <c r="J115" s="298"/>
      <c r="K115" s="65"/>
      <c r="L115" s="65"/>
      <c r="M115" s="65"/>
    </row>
    <row r="116" spans="1:13" hidden="1" thickBot="1" x14ac:dyDescent="0.35">
      <c r="A116" s="308"/>
      <c r="B116" s="284" t="str">
        <f>'Смета в налоговую'!B129</f>
        <v/>
      </c>
      <c r="C116" s="284" t="str">
        <f>'Смета в налоговую'!C129</f>
        <v>Блок-хаус, С (0,135)</v>
      </c>
      <c r="D116" s="284">
        <f>'Смета в налоговую'!D129</f>
        <v>0</v>
      </c>
      <c r="E116" s="284" t="str">
        <f>'Смета в налоговую'!E129</f>
        <v>м2</v>
      </c>
      <c r="F116" s="284">
        <f>'Смета в налоговую'!F129</f>
        <v>688</v>
      </c>
      <c r="G116" s="284">
        <f>'Смета в налоговую'!G129</f>
        <v>302.72000000000003</v>
      </c>
      <c r="H116" s="318">
        <f>'Смета в налоговую'!H129</f>
        <v>0</v>
      </c>
      <c r="J116" s="298"/>
      <c r="K116" s="65"/>
      <c r="L116" s="65"/>
      <c r="M116" s="65"/>
    </row>
    <row r="117" spans="1:13" hidden="1" thickBot="1" x14ac:dyDescent="0.35">
      <c r="A117" s="308"/>
      <c r="B117" s="284"/>
      <c r="C117" s="284" t="str">
        <f>'Смета в налоговую'!C130</f>
        <v>Укладка плитки Заказчика</v>
      </c>
      <c r="D117" s="284">
        <f>'Смета в налоговую'!D130</f>
        <v>0</v>
      </c>
      <c r="E117" s="284" t="str">
        <f>'Смета в налоговую'!E130</f>
        <v>компл.</v>
      </c>
      <c r="F117" s="284">
        <f>'Смета в налоговую'!F130</f>
        <v>0</v>
      </c>
      <c r="G117" s="284">
        <f>'Смета в налоговую'!G130</f>
        <v>0</v>
      </c>
      <c r="H117" s="318">
        <f>'Смета в налоговую'!H130</f>
        <v>0</v>
      </c>
      <c r="J117" s="298"/>
      <c r="K117" s="65"/>
      <c r="L117" s="65"/>
      <c r="M117" s="65"/>
    </row>
    <row r="118" spans="1:13" hidden="1" thickBot="1" x14ac:dyDescent="0.35">
      <c r="A118" s="308"/>
      <c r="B118" s="284"/>
      <c r="C118" s="284" t="str">
        <f>'Смета в налоговую'!C131</f>
        <v>Укладка ламината Заказчика</v>
      </c>
      <c r="D118" s="284">
        <f>'Смета в налоговую'!D131</f>
        <v>0</v>
      </c>
      <c r="E118" s="284" t="str">
        <f>'Смета в налоговую'!E131</f>
        <v>компл.</v>
      </c>
      <c r="F118" s="284">
        <f>'Смета в налоговую'!F131</f>
        <v>0</v>
      </c>
      <c r="G118" s="284">
        <f>'Смета в налоговую'!G131</f>
        <v>0</v>
      </c>
      <c r="H118" s="318">
        <f>'Смета в налоговую'!H131</f>
        <v>0</v>
      </c>
      <c r="J118" s="298"/>
      <c r="K118" s="65"/>
      <c r="L118" s="65"/>
      <c r="M118" s="65"/>
    </row>
    <row r="119" spans="1:13" hidden="1" thickBot="1" x14ac:dyDescent="0.35">
      <c r="A119" s="308"/>
      <c r="B119" s="284"/>
      <c r="C119" s="284" t="str">
        <f>'Смета в налоговую'!C132</f>
        <v>Монтаж обоев Заказчика</v>
      </c>
      <c r="D119" s="284">
        <f>'Смета в налоговую'!D132</f>
        <v>0</v>
      </c>
      <c r="E119" s="284" t="str">
        <f>'Смета в налоговую'!E132</f>
        <v>компл.</v>
      </c>
      <c r="F119" s="284">
        <f>'Смета в налоговую'!F132</f>
        <v>0</v>
      </c>
      <c r="G119" s="284">
        <f>'Смета в налоговую'!G132</f>
        <v>0</v>
      </c>
      <c r="H119" s="318">
        <f>'Смета в налоговую'!H132</f>
        <v>0</v>
      </c>
      <c r="J119" s="298"/>
      <c r="K119" s="65"/>
      <c r="L119" s="65"/>
      <c r="M119" s="65"/>
    </row>
    <row r="120" spans="1:13" hidden="1" thickBot="1" x14ac:dyDescent="0.35">
      <c r="A120" s="308"/>
      <c r="B120" s="284" t="str">
        <f>'Смета в налоговую'!B133</f>
        <v/>
      </c>
      <c r="C120" s="284" t="str">
        <f>'Смета в налоговую'!C133</f>
        <v>Натяжной потолок (белый, матовый)</v>
      </c>
      <c r="D120" s="284">
        <f>'Смета в налоговую'!D133</f>
        <v>0</v>
      </c>
      <c r="E120" s="284" t="str">
        <f>'Смета в налоговую'!E133</f>
        <v>м2</v>
      </c>
      <c r="F120" s="284">
        <f>'Смета в налоговую'!F133</f>
        <v>0</v>
      </c>
      <c r="G120" s="284">
        <f>'Смета в налоговую'!G133</f>
        <v>0</v>
      </c>
      <c r="H120" s="318">
        <f>'Смета в налоговую'!H133</f>
        <v>0</v>
      </c>
      <c r="J120" s="298"/>
      <c r="K120" s="65"/>
      <c r="L120" s="65"/>
      <c r="M120" s="65"/>
    </row>
    <row r="121" spans="1:13" hidden="1" thickBot="1" x14ac:dyDescent="0.35">
      <c r="A121" s="308"/>
      <c r="B121" s="284" t="str">
        <f>'Смета в налоговую'!B134</f>
        <v/>
      </c>
      <c r="C121" s="284" t="str">
        <f>'Смета в налоговую'!C134</f>
        <v>Вагонка осина 90х12,5 - 2м</v>
      </c>
      <c r="D121" s="284">
        <f>'Смета в налоговую'!D134</f>
        <v>0</v>
      </c>
      <c r="E121" s="284" t="str">
        <f>'Смета в налоговую'!E134</f>
        <v>м2</v>
      </c>
      <c r="F121" s="284">
        <f>'Смета в налоговую'!F134</f>
        <v>438</v>
      </c>
      <c r="G121" s="284">
        <f>'Смета в налоговую'!G134</f>
        <v>192.72</v>
      </c>
      <c r="H121" s="318">
        <f>'Смета в налоговую'!H134</f>
        <v>0</v>
      </c>
      <c r="J121" s="298"/>
      <c r="K121" s="65"/>
      <c r="L121" s="65"/>
      <c r="M121" s="65"/>
    </row>
    <row r="122" spans="1:13" hidden="1" thickBot="1" x14ac:dyDescent="0.35">
      <c r="A122" s="308"/>
      <c r="B122" s="284" t="str">
        <f>'Смета в налоговую'!B135</f>
        <v/>
      </c>
      <c r="C122" s="284" t="str">
        <f>'Смета в налоговую'!C135</f>
        <v>Вагонка липа 90х12,5 - 2м</v>
      </c>
      <c r="D122" s="284">
        <f>'Смета в налоговую'!D135</f>
        <v>0</v>
      </c>
      <c r="E122" s="284" t="str">
        <f>'Смета в налоговую'!E135</f>
        <v>м2</v>
      </c>
      <c r="F122" s="284">
        <f>'Смета в налоговую'!F135</f>
        <v>625</v>
      </c>
      <c r="G122" s="284">
        <f>'Смета в налоговую'!G135</f>
        <v>275</v>
      </c>
      <c r="H122" s="318">
        <f>'Смета в налоговую'!H135</f>
        <v>0</v>
      </c>
      <c r="J122" s="298"/>
      <c r="K122" s="65"/>
      <c r="L122" s="65"/>
      <c r="M122" s="65"/>
    </row>
    <row r="123" spans="1:13" hidden="1" thickBot="1" x14ac:dyDescent="0.35">
      <c r="A123" s="308"/>
      <c r="B123" s="284" t="str">
        <f>'Смета в налоговую'!B136</f>
        <v/>
      </c>
      <c r="C123" s="284" t="str">
        <f>'Смета в налоговую'!C136</f>
        <v>Петли для двери на чердак</v>
      </c>
      <c r="D123" s="284">
        <f>'Смета в налоговую'!D136</f>
        <v>0</v>
      </c>
      <c r="E123" s="284" t="str">
        <f>'Смета в налоговую'!E136</f>
        <v>шт</v>
      </c>
      <c r="F123" s="284">
        <f>'Смета в налоговую'!F136</f>
        <v>250</v>
      </c>
      <c r="G123" s="284">
        <f>'Смета в налоговую'!G136</f>
        <v>110.00000000000001</v>
      </c>
      <c r="H123" s="318">
        <f>'Смета в налоговую'!H136</f>
        <v>0</v>
      </c>
      <c r="J123" s="298"/>
      <c r="K123" s="65"/>
      <c r="L123" s="65"/>
      <c r="M123" s="65"/>
    </row>
    <row r="124" spans="1:13" hidden="1" thickBot="1" x14ac:dyDescent="0.35">
      <c r="A124" s="310"/>
      <c r="B124" s="319" t="str">
        <f>'Смета в налоговую'!B137</f>
        <v/>
      </c>
      <c r="C124" s="319" t="str">
        <f>'Смета в налоговую'!C137</f>
        <v>Петли для люка</v>
      </c>
      <c r="D124" s="319">
        <f>'Смета в налоговую'!D137</f>
        <v>0</v>
      </c>
      <c r="E124" s="319" t="str">
        <f>'Смета в налоговую'!E137</f>
        <v>шт</v>
      </c>
      <c r="F124" s="319">
        <f>'Смета в налоговую'!F137</f>
        <v>250</v>
      </c>
      <c r="G124" s="319">
        <f>'Смета в налоговую'!G137</f>
        <v>110.00000000000001</v>
      </c>
      <c r="H124" s="320">
        <f>'Смета в налоговую'!H137</f>
        <v>0</v>
      </c>
      <c r="J124" s="298"/>
      <c r="K124" s="65"/>
      <c r="L124" s="65"/>
      <c r="M124" s="65"/>
    </row>
    <row r="125" spans="1:13" s="65" customFormat="1" ht="15.75" thickBot="1" x14ac:dyDescent="0.3">
      <c r="A125" s="353">
        <f>A94+1</f>
        <v>7</v>
      </c>
      <c r="B125" s="615" t="s">
        <v>818</v>
      </c>
      <c r="C125" s="615"/>
      <c r="D125" s="626"/>
      <c r="E125" s="626"/>
      <c r="F125" s="626"/>
      <c r="G125" s="626"/>
      <c r="H125" s="627"/>
      <c r="J125" s="301"/>
    </row>
    <row r="126" spans="1:13" hidden="1" thickBot="1" x14ac:dyDescent="0.35">
      <c r="A126" s="292"/>
      <c r="B126" s="316" t="str">
        <f>'Смета в налоговую'!B139</f>
        <v/>
      </c>
      <c r="C126" s="316" t="str">
        <f>'Смета в налоговую'!C139</f>
        <v>Вагонка 90х12,5 - 6м, Сорт АВ</v>
      </c>
      <c r="D126" s="316">
        <f>'Смета в налоговую'!D139</f>
        <v>0</v>
      </c>
      <c r="E126" s="316" t="str">
        <f>'Смета в налоговую'!E139</f>
        <v>м2</v>
      </c>
      <c r="F126" s="316">
        <f>'Смета в налоговую'!F139</f>
        <v>275</v>
      </c>
      <c r="G126" s="316">
        <f>'Смета в налоговую'!G139</f>
        <v>121.00000000000001</v>
      </c>
      <c r="H126" s="317">
        <f>'Смета в налоговую'!H139</f>
        <v>0</v>
      </c>
      <c r="J126" s="183" t="s">
        <v>861</v>
      </c>
      <c r="K126" s="65"/>
      <c r="L126" s="65"/>
      <c r="M126" s="65"/>
    </row>
    <row r="127" spans="1:13" hidden="1" thickBot="1" x14ac:dyDescent="0.35">
      <c r="A127" s="308"/>
      <c r="B127" s="284" t="str">
        <f>'Смета в налоговую'!B140</f>
        <v/>
      </c>
      <c r="C127" s="284" t="str">
        <f>'Смета в налоговую'!C140</f>
        <v>Рау-хаус 135х16- 6м, Сорт АВ</v>
      </c>
      <c r="D127" s="284">
        <f>'Смета в налоговую'!D140</f>
        <v>0</v>
      </c>
      <c r="E127" s="284" t="str">
        <f>'Смета в налоговую'!E140</f>
        <v>м2</v>
      </c>
      <c r="F127" s="284">
        <f>'Смета в налоговую'!F140</f>
        <v>450</v>
      </c>
      <c r="G127" s="284">
        <f>'Смета в налоговую'!G140</f>
        <v>198.00000000000003</v>
      </c>
      <c r="H127" s="318">
        <f>'Смета в налоговую'!H140</f>
        <v>0</v>
      </c>
      <c r="J127" s="183" t="s">
        <v>861</v>
      </c>
      <c r="K127" s="65"/>
      <c r="L127" s="65"/>
      <c r="M127" s="65"/>
    </row>
    <row r="128" spans="1:13" hidden="1" thickBot="1" x14ac:dyDescent="0.35">
      <c r="A128" s="308"/>
      <c r="B128" s="284" t="str">
        <f>'Смета в налоговую'!B141</f>
        <v/>
      </c>
      <c r="C128" s="284" t="str">
        <f>'Смета в налоговую'!C141</f>
        <v>Рау-хаус 110х16- 6м, Сорт АВ</v>
      </c>
      <c r="D128" s="284">
        <f>'Смета в налоговую'!D141</f>
        <v>0</v>
      </c>
      <c r="E128" s="284" t="str">
        <f>'Смета в налоговую'!E141</f>
        <v>м2</v>
      </c>
      <c r="F128" s="284">
        <f>'Смета в налоговую'!F141</f>
        <v>450</v>
      </c>
      <c r="G128" s="284">
        <f>'Смета в налоговую'!G141</f>
        <v>198.00000000000003</v>
      </c>
      <c r="H128" s="318">
        <f>'Смета в налоговую'!H141</f>
        <v>0</v>
      </c>
      <c r="J128" s="183" t="s">
        <v>861</v>
      </c>
      <c r="K128" s="65"/>
      <c r="L128" s="65"/>
      <c r="M128" s="65"/>
    </row>
    <row r="129" spans="1:13" hidden="1" thickBot="1" x14ac:dyDescent="0.35">
      <c r="A129" s="308"/>
      <c r="B129" s="284" t="str">
        <f>'Смета в налоговую'!B142</f>
        <v/>
      </c>
      <c r="C129" s="284" t="str">
        <f>'Смета в налоговую'!C142</f>
        <v>Террасная доска 112х24 - 6м, Сорт АВ</v>
      </c>
      <c r="D129" s="284">
        <f>'Смета в налоговую'!D142</f>
        <v>0</v>
      </c>
      <c r="E129" s="284" t="str">
        <f>'Смета в налоговую'!E142</f>
        <v>м2</v>
      </c>
      <c r="F129" s="284">
        <f>'Смета в налоговую'!F142</f>
        <v>525</v>
      </c>
      <c r="G129" s="284">
        <f>'Смета в налоговую'!G142</f>
        <v>231.00000000000003</v>
      </c>
      <c r="H129" s="318">
        <f>'Смета в налоговую'!H142</f>
        <v>0</v>
      </c>
      <c r="J129" s="183"/>
      <c r="K129" s="65"/>
      <c r="L129" s="65"/>
      <c r="M129" s="65"/>
    </row>
    <row r="130" spans="1:13" hidden="1" thickBot="1" x14ac:dyDescent="0.35">
      <c r="A130" s="308"/>
      <c r="B130" s="284" t="str">
        <f>'Смета в налоговую'!B143</f>
        <v/>
      </c>
      <c r="C130" s="284" t="str">
        <f>'Смета в налоговую'!C143</f>
        <v>Калибровка 140х35- 6м</v>
      </c>
      <c r="D130" s="284">
        <f>'Смета в налоговую'!D143</f>
        <v>0</v>
      </c>
      <c r="E130" s="284" t="str">
        <f>'Смета в налоговую'!E143</f>
        <v>шт</v>
      </c>
      <c r="F130" s="284">
        <f>'Смета в налоговую'!F143</f>
        <v>625</v>
      </c>
      <c r="G130" s="284">
        <f>'Смета в налоговую'!G143</f>
        <v>275</v>
      </c>
      <c r="H130" s="318">
        <f>'Смета в налоговую'!H143</f>
        <v>0</v>
      </c>
      <c r="J130" s="298"/>
      <c r="K130" s="65"/>
      <c r="L130" s="65"/>
      <c r="M130" s="65"/>
    </row>
    <row r="131" spans="1:13" hidden="1" thickBot="1" x14ac:dyDescent="0.35">
      <c r="A131" s="308"/>
      <c r="B131" s="284" t="str">
        <f>'Смета в налоговую'!B144</f>
        <v/>
      </c>
      <c r="C131" s="284" t="str">
        <f>'Смета в налоговую'!C144</f>
        <v>Шпунтовка 90х26 - 6м, Сорт АВ</v>
      </c>
      <c r="D131" s="284">
        <f>'Смета в налоговую'!D144</f>
        <v>0</v>
      </c>
      <c r="E131" s="284" t="str">
        <f>'Смета в налоговую'!E144</f>
        <v>м2</v>
      </c>
      <c r="F131" s="284">
        <f>'Смета в налоговую'!F144</f>
        <v>525</v>
      </c>
      <c r="G131" s="284">
        <f>'Смета в налоговую'!G144</f>
        <v>231.00000000000003</v>
      </c>
      <c r="H131" s="318">
        <f>'Смета в налоговую'!H144</f>
        <v>0</v>
      </c>
      <c r="J131" s="298"/>
      <c r="K131" s="65"/>
      <c r="L131" s="65"/>
      <c r="M131" s="65"/>
    </row>
    <row r="132" spans="1:13" hidden="1" thickBot="1" x14ac:dyDescent="0.35">
      <c r="A132" s="308"/>
      <c r="B132" s="284" t="str">
        <f>'Смета в налоговую'!B145</f>
        <v/>
      </c>
      <c r="C132" s="284" t="str">
        <f>'Смета в налоговую'!C145</f>
        <v>Шпунтовка 135х35 - 6м, Сорт АВ</v>
      </c>
      <c r="D132" s="284">
        <f>'Смета в налоговую'!D145</f>
        <v>0</v>
      </c>
      <c r="E132" s="284" t="str">
        <f>'Смета в налоговую'!E145</f>
        <v>м2</v>
      </c>
      <c r="F132" s="284">
        <f>'Смета в налоговую'!F145</f>
        <v>700</v>
      </c>
      <c r="G132" s="284">
        <f>'Смета в налоговую'!G145</f>
        <v>308</v>
      </c>
      <c r="H132" s="318">
        <f>'Смета в налоговую'!H145</f>
        <v>0</v>
      </c>
    </row>
    <row r="133" spans="1:13" hidden="1" thickBot="1" x14ac:dyDescent="0.35">
      <c r="A133" s="308"/>
      <c r="B133" s="284" t="str">
        <f>'Смета в налоговую'!B146</f>
        <v/>
      </c>
      <c r="C133" s="284" t="str">
        <f>'Смета в налоговую'!C146</f>
        <v>ОСБ-3 9мм</v>
      </c>
      <c r="D133" s="284">
        <f>'Смета в налоговую'!D146</f>
        <v>0</v>
      </c>
      <c r="E133" s="284" t="str">
        <f>'Смета в налоговую'!E146</f>
        <v>шт</v>
      </c>
      <c r="F133" s="284">
        <f>'Смета в налоговую'!F146</f>
        <v>813</v>
      </c>
      <c r="G133" s="284">
        <f>'Смета в налоговую'!G146</f>
        <v>357.72</v>
      </c>
      <c r="H133" s="318">
        <f>'Смета в налоговую'!H146</f>
        <v>0</v>
      </c>
    </row>
    <row r="134" spans="1:13" hidden="1" thickBot="1" x14ac:dyDescent="0.35">
      <c r="A134" s="308"/>
      <c r="B134" s="284" t="str">
        <f>'Смета в налоговую'!B147</f>
        <v/>
      </c>
      <c r="C134" s="284" t="str">
        <f>'Смета в налоговую'!C147</f>
        <v>ОСБ-3 12мм</v>
      </c>
      <c r="D134" s="284">
        <f>'Смета в налоговую'!D147</f>
        <v>0</v>
      </c>
      <c r="E134" s="284" t="str">
        <f>'Смета в налоговую'!E147</f>
        <v>шт</v>
      </c>
      <c r="F134" s="284">
        <f>'Смета в налоговую'!F147</f>
        <v>1063</v>
      </c>
      <c r="G134" s="284">
        <f>'Смета в налоговую'!G147</f>
        <v>467.72</v>
      </c>
      <c r="H134" s="318">
        <f>'Смета в налоговую'!H147</f>
        <v>0</v>
      </c>
    </row>
    <row r="135" spans="1:13" hidden="1" thickBot="1" x14ac:dyDescent="0.35">
      <c r="A135" s="308"/>
      <c r="B135" s="284" t="str">
        <f>'Смета в налоговую'!B148</f>
        <v/>
      </c>
      <c r="C135" s="284" t="str">
        <f>'Смета в налоговую'!C148</f>
        <v>Фанера 12</v>
      </c>
      <c r="D135" s="284">
        <f>'Смета в налоговую'!D148</f>
        <v>0</v>
      </c>
      <c r="E135" s="284" t="str">
        <f>'Смета в налоговую'!E148</f>
        <v>шт</v>
      </c>
      <c r="F135" s="284">
        <f>'Смета в налоговую'!F148</f>
        <v>1088</v>
      </c>
      <c r="G135" s="284">
        <f>'Смета в налоговую'!G148</f>
        <v>478.72</v>
      </c>
      <c r="H135" s="318">
        <f>'Смета в налоговую'!H148</f>
        <v>0</v>
      </c>
    </row>
    <row r="136" spans="1:13" hidden="1" thickBot="1" x14ac:dyDescent="0.35">
      <c r="A136" s="308"/>
      <c r="B136" s="284" t="str">
        <f>'Смета в налоговую'!B149</f>
        <v/>
      </c>
      <c r="C136" s="284" t="str">
        <f>'Смета в налоговую'!C149</f>
        <v>ЦСП 10</v>
      </c>
      <c r="D136" s="284">
        <f>'Смета в налоговую'!D149</f>
        <v>0</v>
      </c>
      <c r="E136" s="284" t="str">
        <f>'Смета в налоговую'!E149</f>
        <v>шт</v>
      </c>
      <c r="F136" s="284">
        <f>'Смета в налоговую'!F149</f>
        <v>1150</v>
      </c>
      <c r="G136" s="284">
        <f>'Смета в налоговую'!G149</f>
        <v>506.00000000000006</v>
      </c>
      <c r="H136" s="318">
        <f>'Смета в налоговую'!H149</f>
        <v>0</v>
      </c>
    </row>
    <row r="137" spans="1:13" hidden="1" thickBot="1" x14ac:dyDescent="0.35">
      <c r="A137" s="308"/>
      <c r="B137" s="284" t="str">
        <f>'Смета в налоговую'!B150</f>
        <v/>
      </c>
      <c r="C137" s="284" t="str">
        <f>'Смета в налоговую'!C150</f>
        <v>ЦСП 12</v>
      </c>
      <c r="D137" s="284">
        <f>'Смета в налоговую'!D150</f>
        <v>0</v>
      </c>
      <c r="E137" s="284" t="str">
        <f>'Смета в налоговую'!E150</f>
        <v>шт</v>
      </c>
      <c r="F137" s="284">
        <f>'Смета в налоговую'!F150</f>
        <v>1438</v>
      </c>
      <c r="G137" s="284">
        <f>'Смета в налоговую'!G150</f>
        <v>632.72000000000014</v>
      </c>
      <c r="H137" s="318">
        <f>'Смета в налоговую'!H150</f>
        <v>0</v>
      </c>
    </row>
    <row r="138" spans="1:13" hidden="1" thickBot="1" x14ac:dyDescent="0.35">
      <c r="A138" s="308"/>
      <c r="B138" s="284" t="str">
        <f>'Смета в налоговую'!B151</f>
        <v/>
      </c>
      <c r="C138" s="284" t="str">
        <f>'Смета в налоговую'!C151</f>
        <v>Гипрок Стронг 15мм</v>
      </c>
      <c r="D138" s="284">
        <f>'Смета в налоговую'!D151</f>
        <v>25</v>
      </c>
      <c r="E138" s="284" t="str">
        <f>'Смета в налоговую'!E151</f>
        <v>шт</v>
      </c>
      <c r="F138" s="284">
        <f>'Смета в налоговую'!F151</f>
        <v>450</v>
      </c>
      <c r="G138" s="284">
        <f>'Смета в налоговую'!G151</f>
        <v>198.00000000000003</v>
      </c>
      <c r="H138" s="318">
        <f>'Смета в налоговую'!H151</f>
        <v>16200</v>
      </c>
    </row>
    <row r="139" spans="1:13" hidden="1" thickBot="1" x14ac:dyDescent="0.35">
      <c r="A139" s="308"/>
      <c r="B139" s="284" t="str">
        <f>'Смета в налоговую'!B152</f>
        <v/>
      </c>
      <c r="C139" s="284" t="str">
        <f>'Смета в налоговую'!C152</f>
        <v>Гипрок Стронг Аква 15мм</v>
      </c>
      <c r="D139" s="284">
        <f>'Смета в налоговую'!D152</f>
        <v>0</v>
      </c>
      <c r="E139" s="284" t="str">
        <f>'Смета в налоговую'!E152</f>
        <v>шт</v>
      </c>
      <c r="F139" s="284">
        <f>'Смета в налоговую'!F152</f>
        <v>488</v>
      </c>
      <c r="G139" s="284">
        <f>'Смета в налоговую'!G152</f>
        <v>214.72</v>
      </c>
      <c r="H139" s="318">
        <f>'Смета в налоговую'!H152</f>
        <v>0</v>
      </c>
    </row>
    <row r="140" spans="1:13" hidden="1" thickBot="1" x14ac:dyDescent="0.35">
      <c r="A140" s="308"/>
      <c r="B140" s="284" t="str">
        <f>'Смета в налоговую'!B153</f>
        <v/>
      </c>
      <c r="C140" s="284" t="str">
        <f>'Смета в налоговую'!C153</f>
        <v>GTS, 9,5мм</v>
      </c>
      <c r="D140" s="284">
        <f>'Смета в налоговую'!D153</f>
        <v>0</v>
      </c>
      <c r="E140" s="284" t="str">
        <f>'Смета в налоговую'!E153</f>
        <v>шт</v>
      </c>
      <c r="F140" s="284">
        <f>'Смета в налоговую'!F153</f>
        <v>338</v>
      </c>
      <c r="G140" s="284">
        <f>'Смета в налоговую'!G153</f>
        <v>148.72</v>
      </c>
      <c r="H140" s="318">
        <f>'Смета в налоговую'!H153</f>
        <v>0</v>
      </c>
    </row>
    <row r="141" spans="1:13" hidden="1" thickBot="1" x14ac:dyDescent="0.35">
      <c r="A141" s="308"/>
      <c r="B141" s="284" t="str">
        <f>'Смета в налоговую'!B154</f>
        <v/>
      </c>
      <c r="C141" s="284" t="str">
        <f>'Смета в налоговую'!C154</f>
        <v>Гипрок Лайт Аква 9,5мм</v>
      </c>
      <c r="D141" s="284">
        <f>'Смета в налоговую'!D154</f>
        <v>0</v>
      </c>
      <c r="E141" s="284" t="str">
        <f>'Смета в налоговую'!E154</f>
        <v>шт</v>
      </c>
      <c r="F141" s="284">
        <f>'Смета в налоговую'!F154</f>
        <v>375</v>
      </c>
      <c r="G141" s="284">
        <f>'Смета в налоговую'!G154</f>
        <v>165</v>
      </c>
      <c r="H141" s="318">
        <f>'Смета в налоговую'!H154</f>
        <v>0</v>
      </c>
    </row>
    <row r="142" spans="1:13" hidden="1" thickBot="1" x14ac:dyDescent="0.35">
      <c r="A142" s="308"/>
      <c r="B142" s="284" t="str">
        <f>'Смета в налоговую'!B155</f>
        <v/>
      </c>
      <c r="C142" s="284" t="str">
        <f>'Смета в налоговую'!C155</f>
        <v>Сайдинг Docke Lux Блок-Хаус</v>
      </c>
      <c r="D142" s="284">
        <f>'Смета в налоговую'!D155</f>
        <v>0</v>
      </c>
      <c r="E142" s="284" t="str">
        <f>'Смета в налоговую'!E155</f>
        <v>м2</v>
      </c>
      <c r="F142" s="284">
        <f>'Смета в налоговую'!F155</f>
        <v>0</v>
      </c>
      <c r="G142" s="284">
        <f>'Смета в налоговую'!G155</f>
        <v>0</v>
      </c>
      <c r="H142" s="318">
        <f>'Смета в налоговую'!H155</f>
        <v>0</v>
      </c>
    </row>
    <row r="143" spans="1:13" ht="29.45" hidden="1" thickBot="1" x14ac:dyDescent="0.35">
      <c r="A143" s="308"/>
      <c r="B143" s="284" t="str">
        <f>'Смета в налоговую'!B156</f>
        <v/>
      </c>
      <c r="C143" s="284" t="str">
        <f>'Смета в налоговую'!C156</f>
        <v>Панель Vox Solid Brick Regular (цвет - York)</v>
      </c>
      <c r="D143" s="284">
        <f>'Смета в налоговую'!D156</f>
        <v>0</v>
      </c>
      <c r="E143" s="284" t="str">
        <f>'Смета в налоговую'!E156</f>
        <v>м2</v>
      </c>
      <c r="F143" s="284">
        <f>'Смета в налоговую'!F156</f>
        <v>0</v>
      </c>
      <c r="G143" s="284">
        <f>'Смета в налоговую'!G156</f>
        <v>0</v>
      </c>
      <c r="H143" s="318">
        <f>'Смета в налоговую'!H156</f>
        <v>0</v>
      </c>
    </row>
    <row r="144" spans="1:13" ht="29.45" hidden="1" thickBot="1" x14ac:dyDescent="0.35">
      <c r="A144" s="308"/>
      <c r="B144" s="284" t="str">
        <f>'Смета в налоговую'!B157</f>
        <v/>
      </c>
      <c r="C144" s="284" t="str">
        <f>'Смета в налоговую'!C157</f>
        <v>HAUBERK ТЕХНОНИКОЛЬ Терракотовый кирпич</v>
      </c>
      <c r="D144" s="284">
        <f>'Смета в налоговую'!D157</f>
        <v>0</v>
      </c>
      <c r="E144" s="284" t="str">
        <f>'Смета в налоговую'!E157</f>
        <v>м2</v>
      </c>
      <c r="F144" s="284">
        <f>'Смета в налоговую'!F157</f>
        <v>0</v>
      </c>
      <c r="G144" s="284">
        <f>'Смета в налоговую'!G157</f>
        <v>0</v>
      </c>
      <c r="H144" s="318">
        <f>'Смета в налоговую'!H157</f>
        <v>0</v>
      </c>
    </row>
    <row r="145" spans="1:10" hidden="1" thickBot="1" x14ac:dyDescent="0.35">
      <c r="A145" s="308"/>
      <c r="B145" s="284" t="str">
        <f>'Смета в налоговую'!B158</f>
        <v/>
      </c>
      <c r="C145" s="284" t="str">
        <f>'Смета в налоговую'!C158</f>
        <v>Рау-хаус 185х21- 6м, Сорт АВ</v>
      </c>
      <c r="D145" s="284">
        <f>'Смета в налоговую'!D158</f>
        <v>0</v>
      </c>
      <c r="E145" s="284" t="str">
        <f>'Смета в налоговую'!E158</f>
        <v>м2</v>
      </c>
      <c r="F145" s="284">
        <f>'Смета в налоговую'!F158</f>
        <v>500</v>
      </c>
      <c r="G145" s="284">
        <f>'Смета в налоговую'!G158</f>
        <v>220.00000000000003</v>
      </c>
      <c r="H145" s="318">
        <f>'Смета в налоговую'!H158</f>
        <v>0</v>
      </c>
    </row>
    <row r="146" spans="1:10" hidden="1" thickBot="1" x14ac:dyDescent="0.35">
      <c r="A146" s="308"/>
      <c r="B146" s="284" t="str">
        <f>'Смета в налоговую'!B159</f>
        <v/>
      </c>
      <c r="C146" s="284" t="str">
        <f>'Смета в налоговую'!C159</f>
        <v>Финский профиль, С (0,135)</v>
      </c>
      <c r="D146" s="284">
        <f>'Смета в налоговую'!D159</f>
        <v>0</v>
      </c>
      <c r="E146" s="284" t="str">
        <f>'Смета в налоговую'!E159</f>
        <v>м2</v>
      </c>
      <c r="F146" s="284">
        <f>'Смета в налоговую'!F159</f>
        <v>0</v>
      </c>
      <c r="G146" s="284">
        <f>'Смета в налоговую'!G159</f>
        <v>0</v>
      </c>
      <c r="H146" s="318">
        <f>'Смета в налоговую'!H159</f>
        <v>0</v>
      </c>
    </row>
    <row r="147" spans="1:10" hidden="1" thickBot="1" x14ac:dyDescent="0.35">
      <c r="A147" s="308"/>
      <c r="B147" s="284" t="str">
        <f>'Смета в налоговую'!B160</f>
        <v/>
      </c>
      <c r="C147" s="284" t="str">
        <f>'Смета в налоговую'!C160</f>
        <v>Блок-хаус, АВ (0,135)</v>
      </c>
      <c r="D147" s="284">
        <f>'Смета в налоговую'!D160</f>
        <v>0</v>
      </c>
      <c r="E147" s="284" t="str">
        <f>'Смета в налоговую'!E160</f>
        <v>м2</v>
      </c>
      <c r="F147" s="284">
        <f>'Смета в налоговую'!F160</f>
        <v>688</v>
      </c>
      <c r="G147" s="284">
        <f>'Смета в налоговую'!G160</f>
        <v>302.72000000000003</v>
      </c>
      <c r="H147" s="318">
        <f>'Смета в налоговую'!H160</f>
        <v>0</v>
      </c>
    </row>
    <row r="148" spans="1:10" hidden="1" thickBot="1" x14ac:dyDescent="0.35">
      <c r="A148" s="308"/>
      <c r="B148" s="284" t="str">
        <f>'Смета в налоговую'!B161</f>
        <v/>
      </c>
      <c r="C148" s="284" t="str">
        <f>'Смета в налоговую'!C161</f>
        <v>Блок-хаус, С (0,135)</v>
      </c>
      <c r="D148" s="284">
        <f>'Смета в налоговую'!D161</f>
        <v>0</v>
      </c>
      <c r="E148" s="284" t="str">
        <f>'Смета в налоговую'!E161</f>
        <v>м2</v>
      </c>
      <c r="F148" s="284">
        <f>'Смета в налоговую'!F161</f>
        <v>688</v>
      </c>
      <c r="G148" s="284">
        <f>'Смета в налоговую'!G161</f>
        <v>302.72000000000003</v>
      </c>
      <c r="H148" s="318">
        <f>'Смета в налоговую'!H161</f>
        <v>0</v>
      </c>
    </row>
    <row r="149" spans="1:10" hidden="1" thickBot="1" x14ac:dyDescent="0.35">
      <c r="A149" s="308"/>
      <c r="B149" s="284"/>
      <c r="C149" s="284" t="str">
        <f>'Смета в налоговую'!C162</f>
        <v>Укладка плитки Заказчика</v>
      </c>
      <c r="D149" s="284">
        <f>'Смета в налоговую'!D162</f>
        <v>0</v>
      </c>
      <c r="E149" s="284" t="str">
        <f>'Смета в налоговую'!E162</f>
        <v>компл.</v>
      </c>
      <c r="F149" s="284">
        <f>'Смета в налоговую'!F162</f>
        <v>0</v>
      </c>
      <c r="G149" s="284">
        <f>'Смета в налоговую'!G162</f>
        <v>0</v>
      </c>
      <c r="H149" s="318">
        <f>'Смета в налоговую'!H162</f>
        <v>0</v>
      </c>
    </row>
    <row r="150" spans="1:10" hidden="1" thickBot="1" x14ac:dyDescent="0.35">
      <c r="A150" s="308"/>
      <c r="B150" s="284"/>
      <c r="C150" s="284" t="str">
        <f>'Смета в налоговую'!C163</f>
        <v>Укладка ламината Заказчика</v>
      </c>
      <c r="D150" s="284">
        <f>'Смета в налоговую'!D163</f>
        <v>0</v>
      </c>
      <c r="E150" s="284" t="str">
        <f>'Смета в налоговую'!E163</f>
        <v>компл.</v>
      </c>
      <c r="F150" s="284">
        <f>'Смета в налоговую'!F163</f>
        <v>0</v>
      </c>
      <c r="G150" s="284">
        <f>'Смета в налоговую'!G163</f>
        <v>0</v>
      </c>
      <c r="H150" s="318">
        <f>'Смета в налоговую'!H163</f>
        <v>0</v>
      </c>
    </row>
    <row r="151" spans="1:10" hidden="1" thickBot="1" x14ac:dyDescent="0.35">
      <c r="A151" s="308"/>
      <c r="B151" s="284"/>
      <c r="C151" s="284" t="str">
        <f>'Смета в налоговую'!C164</f>
        <v>Монтаж обоев Заказчика</v>
      </c>
      <c r="D151" s="284">
        <f>'Смета в налоговую'!D164</f>
        <v>0</v>
      </c>
      <c r="E151" s="284" t="str">
        <f>'Смета в налоговую'!E164</f>
        <v>компл.</v>
      </c>
      <c r="F151" s="284">
        <f>'Смета в налоговую'!F164</f>
        <v>0</v>
      </c>
      <c r="G151" s="284">
        <f>'Смета в налоговую'!G164</f>
        <v>0</v>
      </c>
      <c r="H151" s="318">
        <f>'Смета в налоговую'!H164</f>
        <v>0</v>
      </c>
    </row>
    <row r="152" spans="1:10" hidden="1" thickBot="1" x14ac:dyDescent="0.35">
      <c r="A152" s="308"/>
      <c r="B152" s="284" t="str">
        <f>'Смета в налоговую'!B165</f>
        <v/>
      </c>
      <c r="C152" s="284" t="str">
        <f>'Смета в налоговую'!C165</f>
        <v>Натяжной потолок (белый, матовый)</v>
      </c>
      <c r="D152" s="284">
        <f>'Смета в налоговую'!D165</f>
        <v>0</v>
      </c>
      <c r="E152" s="284" t="str">
        <f>'Смета в налоговую'!E165</f>
        <v>м2</v>
      </c>
      <c r="F152" s="284">
        <f>'Смета в налоговую'!F165</f>
        <v>0</v>
      </c>
      <c r="G152" s="284">
        <f>'Смета в налоговую'!G165</f>
        <v>0</v>
      </c>
      <c r="H152" s="318">
        <f>'Смета в налоговую'!H165</f>
        <v>0</v>
      </c>
    </row>
    <row r="153" spans="1:10" hidden="1" thickBot="1" x14ac:dyDescent="0.35">
      <c r="A153" s="308"/>
      <c r="B153" s="284" t="str">
        <f>'Смета в налоговую'!B166</f>
        <v/>
      </c>
      <c r="C153" s="284" t="str">
        <f>'Смета в налоговую'!C166</f>
        <v>Вагонка осина 90х12,5 - 2м</v>
      </c>
      <c r="D153" s="284">
        <f>'Смета в налоговую'!D166</f>
        <v>0</v>
      </c>
      <c r="E153" s="284" t="str">
        <f>'Смета в налоговую'!E166</f>
        <v>м2</v>
      </c>
      <c r="F153" s="284">
        <f>'Смета в налоговую'!F166</f>
        <v>438</v>
      </c>
      <c r="G153" s="284">
        <f>'Смета в налоговую'!G166</f>
        <v>192.72</v>
      </c>
      <c r="H153" s="318">
        <f>'Смета в налоговую'!H166</f>
        <v>0</v>
      </c>
    </row>
    <row r="154" spans="1:10" hidden="1" thickBot="1" x14ac:dyDescent="0.35">
      <c r="A154" s="308"/>
      <c r="B154" s="284" t="str">
        <f>'Смета в налоговую'!B167</f>
        <v/>
      </c>
      <c r="C154" s="284" t="str">
        <f>'Смета в налоговую'!C167</f>
        <v>Вагонка липа 90х12,5 - 2м</v>
      </c>
      <c r="D154" s="284">
        <f>'Смета в налоговую'!D167</f>
        <v>0</v>
      </c>
      <c r="E154" s="284" t="str">
        <f>'Смета в налоговую'!E167</f>
        <v>м2</v>
      </c>
      <c r="F154" s="284">
        <f>'Смета в налоговую'!F167</f>
        <v>625</v>
      </c>
      <c r="G154" s="284">
        <f>'Смета в налоговую'!G167</f>
        <v>275</v>
      </c>
      <c r="H154" s="318">
        <f>'Смета в налоговую'!H167</f>
        <v>0</v>
      </c>
    </row>
    <row r="155" spans="1:10" s="65" customFormat="1" hidden="1" thickBot="1" x14ac:dyDescent="0.35">
      <c r="A155" s="308"/>
      <c r="B155" s="284" t="str">
        <f>'Смета в налоговую'!B168</f>
        <v/>
      </c>
      <c r="C155" s="284" t="str">
        <f>'Смета в налоговую'!C168</f>
        <v>Петли для двери на чердак</v>
      </c>
      <c r="D155" s="284">
        <f>'Смета в налоговую'!D168</f>
        <v>0</v>
      </c>
      <c r="E155" s="284" t="str">
        <f>'Смета в налоговую'!E168</f>
        <v>шт</v>
      </c>
      <c r="F155" s="284">
        <f>'Смета в налоговую'!F168</f>
        <v>250</v>
      </c>
      <c r="G155" s="284">
        <f>'Смета в налоговую'!G168</f>
        <v>110.00000000000001</v>
      </c>
      <c r="H155" s="318">
        <f>'Смета в налоговую'!H168</f>
        <v>0</v>
      </c>
      <c r="J155" s="298"/>
    </row>
    <row r="156" spans="1:10" s="65" customFormat="1" ht="15.6" hidden="1" customHeight="1" thickBot="1" x14ac:dyDescent="0.35">
      <c r="A156" s="310"/>
      <c r="B156" s="319" t="str">
        <f>'Смета в налоговую'!B169</f>
        <v/>
      </c>
      <c r="C156" s="319" t="str">
        <f>'Смета в налоговую'!C169</f>
        <v>Петли для люка</v>
      </c>
      <c r="D156" s="319">
        <f>'Смета в налоговую'!D169</f>
        <v>0</v>
      </c>
      <c r="E156" s="319" t="str">
        <f>'Смета в налоговую'!E169</f>
        <v>шт</v>
      </c>
      <c r="F156" s="319">
        <f>'Смета в налоговую'!F169</f>
        <v>250</v>
      </c>
      <c r="G156" s="319">
        <f>'Смета в налоговую'!G169</f>
        <v>110.00000000000001</v>
      </c>
      <c r="H156" s="320">
        <f>'Смета в налоговую'!H169</f>
        <v>0</v>
      </c>
      <c r="J156" s="298"/>
    </row>
    <row r="157" spans="1:10" s="16" customFormat="1" ht="15.75" thickBot="1" x14ac:dyDescent="0.3">
      <c r="A157" s="353">
        <f>A125+1</f>
        <v>8</v>
      </c>
      <c r="B157" s="612" t="s">
        <v>8</v>
      </c>
      <c r="C157" s="613"/>
      <c r="D157" s="628"/>
      <c r="E157" s="628"/>
      <c r="F157" s="628"/>
      <c r="G157" s="628"/>
      <c r="H157" s="629"/>
      <c r="J157" s="301"/>
    </row>
    <row r="158" spans="1:10" hidden="1" thickBot="1" x14ac:dyDescent="0.35">
      <c r="A158" s="309"/>
      <c r="B158" s="324" t="str">
        <f>'Смета в налоговую'!B171</f>
        <v>Монтаж ПВХ изделий по проекту</v>
      </c>
      <c r="C158" s="324">
        <f>'Смета в налоговую'!C171</f>
        <v>0</v>
      </c>
      <c r="D158" s="324">
        <f>'Смета в налоговую'!D171</f>
        <v>0</v>
      </c>
      <c r="E158" s="324" t="str">
        <f>'Смета в налоговую'!E171</f>
        <v>компл.</v>
      </c>
      <c r="F158" s="324">
        <f>'Смета в налоговую'!F171</f>
        <v>0</v>
      </c>
      <c r="G158" s="324">
        <f>'Смета в налоговую'!G171</f>
        <v>0</v>
      </c>
      <c r="H158" s="325">
        <f>'Смета в налоговую'!H171</f>
        <v>0</v>
      </c>
    </row>
    <row r="159" spans="1:10" s="65" customFormat="1" ht="15.75" thickBot="1" x14ac:dyDescent="0.3">
      <c r="A159" s="353">
        <f>A157+1</f>
        <v>9</v>
      </c>
      <c r="B159" s="615" t="s">
        <v>240</v>
      </c>
      <c r="C159" s="615"/>
      <c r="D159" s="626"/>
      <c r="E159" s="626"/>
      <c r="F159" s="626"/>
      <c r="G159" s="626"/>
      <c r="H159" s="627"/>
      <c r="J159" s="298"/>
    </row>
    <row r="160" spans="1:10" ht="29.45" hidden="1" thickBot="1" x14ac:dyDescent="0.35">
      <c r="A160" s="292"/>
      <c r="B160" s="316" t="str">
        <f>'Смета в налоговую'!B173</f>
        <v>Устройство межкомнатной двери</v>
      </c>
      <c r="C160" s="316" t="str">
        <f>'Смета в налоговую'!C173</f>
        <v>Двери МДФ, белые(полот., пет, ручки, обн. кор.)</v>
      </c>
      <c r="D160" s="316">
        <f>'Смета в налоговую'!D173</f>
        <v>0</v>
      </c>
      <c r="E160" s="316" t="str">
        <f>'Смета в налоговую'!E173</f>
        <v>шт</v>
      </c>
      <c r="F160" s="316">
        <f>'Смета в налоговую'!F173</f>
        <v>0</v>
      </c>
      <c r="G160" s="316">
        <f>'Смета в налоговую'!G173</f>
        <v>0</v>
      </c>
      <c r="H160" s="317">
        <f>'Смета в налоговую'!H173</f>
        <v>0</v>
      </c>
    </row>
    <row r="161" spans="1:8" ht="29.45" hidden="1" thickBot="1" x14ac:dyDescent="0.35">
      <c r="A161" s="308"/>
      <c r="B161" s="284" t="str">
        <f>'Смета в налоговую'!B174</f>
        <v>Устройство межкомнатной двери</v>
      </c>
      <c r="C161" s="284" t="str">
        <f>'Смета в налоговую'!C174</f>
        <v>Дверь межкомнатные Браво с фурнитурой</v>
      </c>
      <c r="D161" s="284">
        <f>'Смета в налоговую'!D174</f>
        <v>0</v>
      </c>
      <c r="E161" s="284" t="str">
        <f>'Смета в налоговую'!E174</f>
        <v>шт</v>
      </c>
      <c r="F161" s="284">
        <f>'Смета в налоговую'!F174</f>
        <v>0</v>
      </c>
      <c r="G161" s="284">
        <f>'Смета в налоговую'!G174</f>
        <v>0</v>
      </c>
      <c r="H161" s="318">
        <f>'Смета в налоговую'!H174</f>
        <v>0</v>
      </c>
    </row>
    <row r="162" spans="1:8" hidden="1" thickBot="1" x14ac:dyDescent="0.35">
      <c r="A162" s="308"/>
      <c r="B162" s="284" t="str">
        <f>'Смета в налоговую'!B175</f>
        <v>Устройство межкомнатной двери</v>
      </c>
      <c r="C162" s="284" t="str">
        <f>'Смета в налоговую'!C175</f>
        <v>Дверь филенчатая 60 см (компл.)</v>
      </c>
      <c r="D162" s="284">
        <f>'Смета в налоговую'!D175</f>
        <v>0</v>
      </c>
      <c r="E162" s="284" t="str">
        <f>'Смета в налоговую'!E175</f>
        <v>шт</v>
      </c>
      <c r="F162" s="284">
        <f>'Смета в налоговую'!F175</f>
        <v>3000</v>
      </c>
      <c r="G162" s="284">
        <f>'Смета в налоговую'!G175</f>
        <v>1320</v>
      </c>
      <c r="H162" s="318">
        <f>'Смета в налоговую'!H175</f>
        <v>0</v>
      </c>
    </row>
    <row r="163" spans="1:8" hidden="1" thickBot="1" x14ac:dyDescent="0.35">
      <c r="A163" s="308"/>
      <c r="B163" s="284" t="str">
        <f>'Смета в налоговую'!B176</f>
        <v>Устройство межкомнатной двери</v>
      </c>
      <c r="C163" s="284" t="str">
        <f>'Смета в налоговую'!C176</f>
        <v>Дверь филенчатая 70 см (компл.)</v>
      </c>
      <c r="D163" s="284">
        <f>'Смета в налоговую'!D176</f>
        <v>0</v>
      </c>
      <c r="E163" s="284" t="str">
        <f>'Смета в налоговую'!E176</f>
        <v>шт</v>
      </c>
      <c r="F163" s="284">
        <f>'Смета в налоговую'!F176</f>
        <v>3000</v>
      </c>
      <c r="G163" s="284">
        <f>'Смета в налоговую'!G176</f>
        <v>1320</v>
      </c>
      <c r="H163" s="318">
        <f>'Смета в налоговую'!H176</f>
        <v>0</v>
      </c>
    </row>
    <row r="164" spans="1:8" hidden="1" thickBot="1" x14ac:dyDescent="0.35">
      <c r="A164" s="308"/>
      <c r="B164" s="284" t="str">
        <f>'Смета в налоговую'!B177</f>
        <v>Устройство межкомнатной двери</v>
      </c>
      <c r="C164" s="284" t="str">
        <f>'Смета в налоговую'!C177</f>
        <v>Дверь филенчатая 80 см (компл.)</v>
      </c>
      <c r="D164" s="284">
        <f>'Смета в налоговую'!D177</f>
        <v>0</v>
      </c>
      <c r="E164" s="284" t="str">
        <f>'Смета в налоговую'!E177</f>
        <v>шт</v>
      </c>
      <c r="F164" s="284">
        <f>'Смета в налоговую'!F177</f>
        <v>3000</v>
      </c>
      <c r="G164" s="284">
        <f>'Смета в налоговую'!G177</f>
        <v>1320</v>
      </c>
      <c r="H164" s="318">
        <f>'Смета в налоговую'!H177</f>
        <v>0</v>
      </c>
    </row>
    <row r="165" spans="1:8" hidden="1" thickBot="1" x14ac:dyDescent="0.35">
      <c r="A165" s="308"/>
      <c r="B165" s="284" t="str">
        <f>'Смета в налоговую'!B178</f>
        <v>Устройство межкомнатной двери</v>
      </c>
      <c r="C165" s="284" t="str">
        <f>'Смета в налоговую'!C178</f>
        <v>Дверь филенчатая 90 см (компл.)</v>
      </c>
      <c r="D165" s="284">
        <f>'Смета в налоговую'!D178</f>
        <v>0</v>
      </c>
      <c r="E165" s="284" t="str">
        <f>'Смета в налоговую'!E178</f>
        <v>шт</v>
      </c>
      <c r="F165" s="284">
        <f>'Смета в налоговую'!F178</f>
        <v>3000</v>
      </c>
      <c r="G165" s="284">
        <f>'Смета в налоговую'!G178</f>
        <v>1320</v>
      </c>
      <c r="H165" s="318">
        <f>'Смета в налоговую'!H178</f>
        <v>0</v>
      </c>
    </row>
    <row r="166" spans="1:8" hidden="1" thickBot="1" x14ac:dyDescent="0.35">
      <c r="A166" s="308"/>
      <c r="B166" s="284" t="str">
        <f>'Смета в налоговую'!B179</f>
        <v>Устройство межкомнатной двери</v>
      </c>
      <c r="C166" s="284" t="str">
        <f>'Смета в налоговую'!C179</f>
        <v>Дверь банная</v>
      </c>
      <c r="D166" s="284">
        <f>'Смета в налоговую'!D179</f>
        <v>0</v>
      </c>
      <c r="E166" s="284" t="str">
        <f>'Смета в налоговую'!E179</f>
        <v>шт</v>
      </c>
      <c r="F166" s="284">
        <f>'Смета в налоговую'!F179</f>
        <v>2250</v>
      </c>
      <c r="G166" s="284">
        <f>'Смета в налоговую'!G179</f>
        <v>990.00000000000011</v>
      </c>
      <c r="H166" s="318">
        <f>'Смета в налоговую'!H179</f>
        <v>0</v>
      </c>
    </row>
    <row r="167" spans="1:8" hidden="1" thickBot="1" x14ac:dyDescent="0.35">
      <c r="A167" s="308"/>
      <c r="B167" s="284" t="str">
        <f>'Смета в налоговую'!B180</f>
        <v>Устройство межкомнатной двери</v>
      </c>
      <c r="C167" s="284" t="str">
        <f>'Смета в налоговую'!C180</f>
        <v>Дверь банная со стеклом</v>
      </c>
      <c r="D167" s="284">
        <f>'Смета в налоговую'!D180</f>
        <v>0</v>
      </c>
      <c r="E167" s="284" t="str">
        <f>'Смета в налоговую'!E180</f>
        <v>шт</v>
      </c>
      <c r="F167" s="284">
        <f>'Смета в налоговую'!F180</f>
        <v>6250</v>
      </c>
      <c r="G167" s="284">
        <f>'Смета в налоговую'!G180</f>
        <v>2750</v>
      </c>
      <c r="H167" s="318">
        <f>'Смета в налоговую'!H180</f>
        <v>0</v>
      </c>
    </row>
    <row r="168" spans="1:8" hidden="1" thickBot="1" x14ac:dyDescent="0.35">
      <c r="A168" s="308"/>
      <c r="B168" s="284" t="str">
        <f>'Смета в налоговую'!B181</f>
        <v>Устройство межкомнатной двери</v>
      </c>
      <c r="C168" s="284" t="str">
        <f>'Смета в налоговую'!C181</f>
        <v>Дверь стеклянная</v>
      </c>
      <c r="D168" s="284">
        <f>'Смета в налоговую'!D181</f>
        <v>0</v>
      </c>
      <c r="E168" s="284" t="str">
        <f>'Смета в налоговую'!E181</f>
        <v>шт</v>
      </c>
      <c r="F168" s="284">
        <f>'Смета в налоговую'!F181</f>
        <v>6250</v>
      </c>
      <c r="G168" s="284">
        <f>'Смета в налоговую'!G181</f>
        <v>2750</v>
      </c>
      <c r="H168" s="318">
        <f>'Смета в налоговую'!H181</f>
        <v>0</v>
      </c>
    </row>
    <row r="169" spans="1:8" hidden="1" thickBot="1" x14ac:dyDescent="0.35">
      <c r="A169" s="308"/>
      <c r="B169" s="284" t="str">
        <f>'Смета в налоговую'!B182</f>
        <v>Устройство межкомнатной двери</v>
      </c>
      <c r="C169" s="284" t="str">
        <f>'Смета в налоговую'!C182</f>
        <v>Межкомнатная дверь Заказчика</v>
      </c>
      <c r="D169" s="284">
        <f>'Смета в налоговую'!D182</f>
        <v>0</v>
      </c>
      <c r="E169" s="284" t="str">
        <f>'Смета в налоговую'!E182</f>
        <v>шт</v>
      </c>
      <c r="F169" s="284">
        <f>'Смета в налоговую'!F182</f>
        <v>0</v>
      </c>
      <c r="G169" s="284">
        <f>'Смета в налоговую'!G182</f>
        <v>0</v>
      </c>
      <c r="H169" s="318">
        <f>'Смета в налоговую'!H182</f>
        <v>0</v>
      </c>
    </row>
    <row r="170" spans="1:8" ht="29.45" hidden="1" thickBot="1" x14ac:dyDescent="0.35">
      <c r="A170" s="308"/>
      <c r="B170" s="284" t="str">
        <f>'Смета в налоговую'!B183</f>
        <v>Устройство входной двери</v>
      </c>
      <c r="C170" s="284" t="str">
        <f>'Смета в налоговую'!C183</f>
        <v>Дверь входная 1,2мм РФ левая не утепленная</v>
      </c>
      <c r="D170" s="284">
        <f>'Смета в налоговую'!D183</f>
        <v>0</v>
      </c>
      <c r="E170" s="284" t="str">
        <f>'Смета в налоговую'!E183</f>
        <v>шт</v>
      </c>
      <c r="F170" s="284">
        <f>'Смета в налоговую'!F183</f>
        <v>10000</v>
      </c>
      <c r="G170" s="284">
        <f>'Смета в налоговую'!G183</f>
        <v>4400</v>
      </c>
      <c r="H170" s="318">
        <f>'Смета в налоговую'!H183</f>
        <v>0</v>
      </c>
    </row>
    <row r="171" spans="1:8" ht="29.45" hidden="1" thickBot="1" x14ac:dyDescent="0.35">
      <c r="A171" s="308"/>
      <c r="B171" s="284" t="str">
        <f>'Смета в налоговую'!B184</f>
        <v>Устройство входной двери</v>
      </c>
      <c r="C171" s="284" t="str">
        <f>'Смета в налоговую'!C184</f>
        <v>Дверь входная 1,2мм РФ правая не утепленная</v>
      </c>
      <c r="D171" s="284">
        <f>'Смета в налоговую'!D184</f>
        <v>0</v>
      </c>
      <c r="E171" s="284" t="str">
        <f>'Смета в налоговую'!E184</f>
        <v>шт</v>
      </c>
      <c r="F171" s="284">
        <f>'Смета в налоговую'!F184</f>
        <v>10000</v>
      </c>
      <c r="G171" s="284">
        <f>'Смета в налоговую'!G184</f>
        <v>4400</v>
      </c>
      <c r="H171" s="318">
        <f>'Смета в налоговую'!H184</f>
        <v>0</v>
      </c>
    </row>
    <row r="172" spans="1:8" ht="29.45" hidden="1" thickBot="1" x14ac:dyDescent="0.35">
      <c r="A172" s="308"/>
      <c r="B172" s="284" t="str">
        <f>'Смета в налоговую'!B185</f>
        <v>Устройство входной двери</v>
      </c>
      <c r="C172" s="284" t="str">
        <f>'Смета в налоговую'!C185</f>
        <v>Дверь входная 1,5мм РФ левая утепленная</v>
      </c>
      <c r="D172" s="284">
        <f>'Смета в налоговую'!D185</f>
        <v>0</v>
      </c>
      <c r="E172" s="284" t="str">
        <f>'Смета в налоговую'!E185</f>
        <v>шт</v>
      </c>
      <c r="F172" s="284">
        <f>'Смета в налоговую'!F185</f>
        <v>13750</v>
      </c>
      <c r="G172" s="284">
        <f>'Смета в налоговую'!G185</f>
        <v>6050.0000000000009</v>
      </c>
      <c r="H172" s="318">
        <f>'Смета в налоговую'!H185</f>
        <v>0</v>
      </c>
    </row>
    <row r="173" spans="1:8" ht="29.45" hidden="1" thickBot="1" x14ac:dyDescent="0.35">
      <c r="A173" s="308"/>
      <c r="B173" s="284" t="str">
        <f>'Смета в налоговую'!B186</f>
        <v>Устройство входной двери</v>
      </c>
      <c r="C173" s="284" t="str">
        <f>'Смета в налоговую'!C186</f>
        <v>Дверь входная 1,5мм РФ правая утепленная</v>
      </c>
      <c r="D173" s="284">
        <f>'Смета в налоговую'!D186</f>
        <v>0</v>
      </c>
      <c r="E173" s="284" t="str">
        <f>'Смета в налоговую'!E186</f>
        <v>шт</v>
      </c>
      <c r="F173" s="284">
        <f>'Смета в налоговую'!F186</f>
        <v>13750</v>
      </c>
      <c r="G173" s="284">
        <f>'Смета в налоговую'!G186</f>
        <v>6050.0000000000009</v>
      </c>
      <c r="H173" s="318">
        <f>'Смета в налоговую'!H186</f>
        <v>0</v>
      </c>
    </row>
    <row r="174" spans="1:8" ht="29.45" hidden="1" thickBot="1" x14ac:dyDescent="0.35">
      <c r="A174" s="308"/>
      <c r="B174" s="284" t="str">
        <f>'Смета в налоговую'!B187</f>
        <v>Устройство входной двери</v>
      </c>
      <c r="C174" s="284" t="str">
        <f>'Смета в налоговую'!C187</f>
        <v>Дверь входная с терморазрывом левая</v>
      </c>
      <c r="D174" s="284">
        <f>'Смета в налоговую'!D187</f>
        <v>0</v>
      </c>
      <c r="E174" s="284" t="str">
        <f>'Смета в налоговую'!E187</f>
        <v>шт</v>
      </c>
      <c r="F174" s="284">
        <f>'Смета в налоговую'!F187</f>
        <v>23125</v>
      </c>
      <c r="G174" s="284">
        <f>'Смета в налоговую'!G187</f>
        <v>10175</v>
      </c>
      <c r="H174" s="318">
        <f>'Смета в налоговую'!H187</f>
        <v>0</v>
      </c>
    </row>
    <row r="175" spans="1:8" ht="29.45" hidden="1" thickBot="1" x14ac:dyDescent="0.35">
      <c r="A175" s="308"/>
      <c r="B175" s="284" t="str">
        <f>'Смета в налоговую'!B188</f>
        <v>Устройство входной двери</v>
      </c>
      <c r="C175" s="284" t="str">
        <f>'Смета в налоговую'!C188</f>
        <v>Дверь входная с терморазрывом правая</v>
      </c>
      <c r="D175" s="284">
        <f>'Смета в налоговую'!D188</f>
        <v>0</v>
      </c>
      <c r="E175" s="284" t="str">
        <f>'Смета в налоговую'!E188</f>
        <v>шт</v>
      </c>
      <c r="F175" s="284">
        <f>'Смета в налоговую'!F188</f>
        <v>23125</v>
      </c>
      <c r="G175" s="284">
        <f>'Смета в налоговую'!G188</f>
        <v>10175</v>
      </c>
      <c r="H175" s="318">
        <f>'Смета в налоговую'!H188</f>
        <v>0</v>
      </c>
    </row>
    <row r="176" spans="1:8" hidden="1" thickBot="1" x14ac:dyDescent="0.35">
      <c r="A176" s="310"/>
      <c r="B176" s="319" t="str">
        <f>'Смета в налоговую'!B189</f>
        <v>Устройство входной двери</v>
      </c>
      <c r="C176" s="319" t="str">
        <f>'Смета в налоговую'!C189</f>
        <v>Входная дверь Заказчика</v>
      </c>
      <c r="D176" s="319">
        <f>'Смета в налоговую'!D189</f>
        <v>0</v>
      </c>
      <c r="E176" s="319" t="str">
        <f>'Смета в налоговую'!E189</f>
        <v>шт</v>
      </c>
      <c r="F176" s="319">
        <f>'Смета в налоговую'!F189</f>
        <v>0</v>
      </c>
      <c r="G176" s="319">
        <f>'Смета в налоговую'!G189</f>
        <v>0</v>
      </c>
      <c r="H176" s="320">
        <f>'Смета в налоговую'!H189</f>
        <v>0</v>
      </c>
    </row>
    <row r="177" spans="1:10" s="65" customFormat="1" ht="15.75" thickBot="1" x14ac:dyDescent="0.3">
      <c r="A177" s="353">
        <f>A159+1</f>
        <v>10</v>
      </c>
      <c r="B177" s="615" t="s">
        <v>290</v>
      </c>
      <c r="C177" s="615"/>
      <c r="D177" s="626"/>
      <c r="E177" s="626"/>
      <c r="F177" s="626"/>
      <c r="G177" s="626"/>
      <c r="H177" s="627"/>
      <c r="J177" s="298"/>
    </row>
    <row r="178" spans="1:10" hidden="1" thickBot="1" x14ac:dyDescent="0.35">
      <c r="A178" s="309"/>
      <c r="B178" s="324" t="str">
        <f>'Смета в налоговую'!B191</f>
        <v>Устройство лестницы</v>
      </c>
      <c r="C178" s="324">
        <f>'Смета в налоговую'!C191</f>
        <v>0</v>
      </c>
      <c r="D178" s="324">
        <f>'Смета в налоговую'!D191</f>
        <v>0</v>
      </c>
      <c r="E178" s="324" t="str">
        <f>'Смета в налоговую'!E191</f>
        <v>компл.</v>
      </c>
      <c r="F178" s="324">
        <f>'Смета в налоговую'!F191</f>
        <v>0</v>
      </c>
      <c r="G178" s="324">
        <f>'Смета в налоговую'!G191</f>
        <v>0</v>
      </c>
      <c r="H178" s="325">
        <f>'Смета в налоговую'!H191</f>
        <v>0</v>
      </c>
    </row>
    <row r="179" spans="1:10" s="65" customFormat="1" ht="15.75" thickBot="1" x14ac:dyDescent="0.3">
      <c r="A179" s="353">
        <f>A177+1</f>
        <v>11</v>
      </c>
      <c r="B179" s="615" t="s">
        <v>3</v>
      </c>
      <c r="C179" s="615"/>
      <c r="D179" s="626"/>
      <c r="E179" s="626"/>
      <c r="F179" s="626"/>
      <c r="G179" s="626"/>
      <c r="H179" s="627"/>
      <c r="J179" s="298"/>
    </row>
    <row r="180" spans="1:10" ht="30.75" thickBot="1" x14ac:dyDescent="0.3">
      <c r="A180" s="355"/>
      <c r="B180" s="351"/>
      <c r="C180" s="324" t="str">
        <f>'Смета в налоговую'!C193</f>
        <v>Рубероид, саморезы, гвозди, гайки, шайбы и т.д.</v>
      </c>
      <c r="D180" s="343">
        <f>'Смета в налоговую'!D193</f>
        <v>1</v>
      </c>
      <c r="E180" s="343" t="str">
        <f>'Смета в налоговую'!E193</f>
        <v>компл.</v>
      </c>
      <c r="F180" s="343">
        <f>'Смета в налоговую'!F193</f>
        <v>56321.55</v>
      </c>
      <c r="G180" s="343">
        <f>'Смета в налоговую'!G193</f>
        <v>0</v>
      </c>
      <c r="H180" s="347">
        <f>'Смета в налоговую'!H193</f>
        <v>56321.55</v>
      </c>
    </row>
    <row r="181" spans="1:10" s="65" customFormat="1" ht="15.75" thickBot="1" x14ac:dyDescent="0.3">
      <c r="A181" s="353">
        <f>A179+1</f>
        <v>12</v>
      </c>
      <c r="B181" s="615" t="s">
        <v>280</v>
      </c>
      <c r="C181" s="615"/>
      <c r="D181" s="626"/>
      <c r="E181" s="626"/>
      <c r="F181" s="626"/>
      <c r="G181" s="626"/>
      <c r="H181" s="627"/>
      <c r="J181" s="298"/>
    </row>
    <row r="182" spans="1:10" hidden="1" thickBot="1" x14ac:dyDescent="0.35">
      <c r="A182" s="309"/>
      <c r="B182" s="324" t="str">
        <f>'Смета в налоговую'!B195</f>
        <v>Устройство погонажных элементов</v>
      </c>
      <c r="C182" s="324" t="str">
        <f>'Смета в налоговую'!C195</f>
        <v>Обналичка 110 3м</v>
      </c>
      <c r="D182" s="324">
        <f>'Смета в налоговую'!D195</f>
        <v>1</v>
      </c>
      <c r="E182" s="324" t="str">
        <f>'Смета в налоговую'!E195</f>
        <v>компл.</v>
      </c>
      <c r="F182" s="324">
        <f>'Смета в налоговую'!F195</f>
        <v>2512.5</v>
      </c>
      <c r="G182" s="324">
        <f>'Смета в налоговую'!G195</f>
        <v>1105.5</v>
      </c>
      <c r="H182" s="325">
        <f>'Смета в налоговую'!H195</f>
        <v>3618</v>
      </c>
      <c r="I182" s="65"/>
      <c r="J182" s="298"/>
    </row>
    <row r="183" spans="1:10" s="65" customFormat="1" ht="15.75" thickBot="1" x14ac:dyDescent="0.3">
      <c r="A183" s="353">
        <f>A181+1</f>
        <v>13</v>
      </c>
      <c r="B183" s="615" t="s">
        <v>403</v>
      </c>
      <c r="C183" s="615"/>
      <c r="D183" s="626"/>
      <c r="E183" s="626"/>
      <c r="F183" s="626"/>
      <c r="G183" s="626"/>
      <c r="H183" s="627"/>
      <c r="J183" s="298"/>
    </row>
    <row r="184" spans="1:10" hidden="1" thickBot="1" x14ac:dyDescent="0.35">
      <c r="A184" s="292"/>
      <c r="B184" s="316" t="str">
        <f>'Смета в налоговую'!B197</f>
        <v>Устройство полков</v>
      </c>
      <c r="C184" s="316" t="str">
        <f>'Смета в налоговую'!C197</f>
        <v>Полог осина 3,0м (90), Сорт А</v>
      </c>
      <c r="D184" s="316">
        <f>'Смета в налоговую'!D197</f>
        <v>0</v>
      </c>
      <c r="E184" s="316" t="str">
        <f>'Смета в налоговую'!E197</f>
        <v>шт</v>
      </c>
      <c r="F184" s="316">
        <f>'Смета в налоговую'!F197</f>
        <v>263</v>
      </c>
      <c r="G184" s="316">
        <f>'Смета в налоговую'!G197</f>
        <v>115.72000000000001</v>
      </c>
      <c r="H184" s="317">
        <f>'Смета в налоговую'!H197</f>
        <v>0</v>
      </c>
    </row>
    <row r="185" spans="1:10" hidden="1" thickBot="1" x14ac:dyDescent="0.35">
      <c r="A185" s="308"/>
      <c r="B185" s="284" t="str">
        <f>'Смета в налоговую'!B198</f>
        <v>Устройство печи</v>
      </c>
      <c r="C185" s="284" t="str">
        <f>'Смета в налоговую'!C198</f>
        <v>ОСА Термофор</v>
      </c>
      <c r="D185" s="284">
        <f>'Смета в налоговую'!D198</f>
        <v>0</v>
      </c>
      <c r="E185" s="284" t="str">
        <f>'Смета в налоговую'!E198</f>
        <v>компл.</v>
      </c>
      <c r="F185" s="284">
        <f>'Смета в налоговую'!F198</f>
        <v>0</v>
      </c>
      <c r="G185" s="284">
        <f>'Смета в налоговую'!G198</f>
        <v>0</v>
      </c>
      <c r="H185" s="318">
        <f>'Смета в налоговую'!H198</f>
        <v>0</v>
      </c>
    </row>
    <row r="186" spans="1:10" hidden="1" thickBot="1" x14ac:dyDescent="0.35">
      <c r="A186" s="308"/>
      <c r="B186" s="284" t="str">
        <f>'Смета в налоговую'!B199</f>
        <v>Устройство печи</v>
      </c>
      <c r="C186" s="284" t="str">
        <f>'Смета в налоговую'!C199</f>
        <v>Печь термофор,10, бак на 55л</v>
      </c>
      <c r="D186" s="284">
        <f>'Смета в налоговую'!D199</f>
        <v>0</v>
      </c>
      <c r="E186" s="284" t="str">
        <f>'Смета в налоговую'!E199</f>
        <v>компл.</v>
      </c>
      <c r="F186" s="284">
        <f>'Смета в налоговую'!F199</f>
        <v>0</v>
      </c>
      <c r="G186" s="284">
        <f>'Смета в налоговую'!G199</f>
        <v>0</v>
      </c>
      <c r="H186" s="318">
        <f>'Смета в налоговую'!H199</f>
        <v>0</v>
      </c>
    </row>
    <row r="187" spans="1:10" hidden="1" thickBot="1" x14ac:dyDescent="0.35">
      <c r="A187" s="308"/>
      <c r="B187" s="284" t="str">
        <f>'Смета в налоговую'!B200</f>
        <v>Устройство печи</v>
      </c>
      <c r="C187" s="284" t="str">
        <f>'Смета в налоговую'!C200</f>
        <v>Печь термофор, 15</v>
      </c>
      <c r="D187" s="284">
        <f>'Смета в налоговую'!D200</f>
        <v>0</v>
      </c>
      <c r="E187" s="284" t="str">
        <f>'Смета в налоговую'!E200</f>
        <v>компл.</v>
      </c>
      <c r="F187" s="284">
        <f>'Смета в налоговую'!F200</f>
        <v>0</v>
      </c>
      <c r="G187" s="284">
        <f>'Смета в налоговую'!G200</f>
        <v>0</v>
      </c>
      <c r="H187" s="318">
        <f>'Смета в налоговую'!H200</f>
        <v>0</v>
      </c>
    </row>
    <row r="188" spans="1:10" hidden="1" thickBot="1" x14ac:dyDescent="0.35">
      <c r="A188" s="308"/>
      <c r="B188" s="284" t="str">
        <f>'Смета в налоговую'!B201</f>
        <v>Устройство печи</v>
      </c>
      <c r="C188" s="284" t="str">
        <f>'Смета в налоговую'!C201</f>
        <v>Печь кирасир,10 в перегородку</v>
      </c>
      <c r="D188" s="284">
        <f>'Смета в налоговую'!D201</f>
        <v>0</v>
      </c>
      <c r="E188" s="284" t="str">
        <f>'Смета в налоговую'!E201</f>
        <v>компл.</v>
      </c>
      <c r="F188" s="284">
        <f>'Смета в налоговую'!F201</f>
        <v>0</v>
      </c>
      <c r="G188" s="284">
        <f>'Смета в налоговую'!G201</f>
        <v>0</v>
      </c>
      <c r="H188" s="318">
        <f>'Смета в налоговую'!H201</f>
        <v>0</v>
      </c>
    </row>
    <row r="189" spans="1:10" hidden="1" thickBot="1" x14ac:dyDescent="0.35">
      <c r="A189" s="308"/>
      <c r="B189" s="284" t="str">
        <f>'Смета в налоговую'!B202</f>
        <v>Устройство печи</v>
      </c>
      <c r="C189" s="284" t="str">
        <f>'Смета в налоговую'!C202</f>
        <v>Кирасир 15</v>
      </c>
      <c r="D189" s="284">
        <f>'Смета в налоговую'!D202</f>
        <v>0</v>
      </c>
      <c r="E189" s="284" t="str">
        <f>'Смета в налоговую'!E202</f>
        <v>компл.</v>
      </c>
      <c r="F189" s="284">
        <f>'Смета в налоговую'!F202</f>
        <v>0</v>
      </c>
      <c r="G189" s="284">
        <f>'Смета в налоговую'!G202</f>
        <v>0</v>
      </c>
      <c r="H189" s="318">
        <f>'Смета в налоговую'!H202</f>
        <v>0</v>
      </c>
    </row>
    <row r="190" spans="1:10" hidden="1" thickBot="1" x14ac:dyDescent="0.35">
      <c r="A190" s="308"/>
      <c r="B190" s="284" t="str">
        <f>'Смета в налоговую'!B203</f>
        <v>Устройство печи</v>
      </c>
      <c r="C190" s="284" t="str">
        <f>'Смета в налоговую'!C203</f>
        <v>Печь кирасир,15, интро</v>
      </c>
      <c r="D190" s="284">
        <f>'Смета в налоговую'!D203</f>
        <v>0</v>
      </c>
      <c r="E190" s="284" t="str">
        <f>'Смета в налоговую'!E203</f>
        <v>компл.</v>
      </c>
      <c r="F190" s="284">
        <f>'Смета в налоговую'!F203</f>
        <v>0</v>
      </c>
      <c r="G190" s="284">
        <f>'Смета в налоговую'!G203</f>
        <v>0</v>
      </c>
      <c r="H190" s="318">
        <f>'Смета в налоговую'!H203</f>
        <v>0</v>
      </c>
    </row>
    <row r="191" spans="1:10" hidden="1" thickBot="1" x14ac:dyDescent="0.35">
      <c r="A191" s="308"/>
      <c r="B191" s="284" t="str">
        <f>'Смета в налоговую'!B204</f>
        <v>Устройство печи</v>
      </c>
      <c r="C191" s="284" t="str">
        <f>'Смета в налоговую'!C204</f>
        <v>Печь отопительная</v>
      </c>
      <c r="D191" s="284">
        <f>'Смета в налоговую'!D204</f>
        <v>0</v>
      </c>
      <c r="E191" s="284" t="str">
        <f>'Смета в налоговую'!E204</f>
        <v>компл.</v>
      </c>
      <c r="F191" s="284">
        <f>'Смета в налоговую'!F204</f>
        <v>0</v>
      </c>
      <c r="G191" s="284">
        <f>'Смета в налоговую'!G204</f>
        <v>0</v>
      </c>
      <c r="H191" s="318">
        <f>'Смета в налоговую'!H204</f>
        <v>0</v>
      </c>
    </row>
    <row r="192" spans="1:10" hidden="1" thickBot="1" x14ac:dyDescent="0.35">
      <c r="A192" s="308"/>
      <c r="B192" s="284" t="str">
        <f>'Смета в налоговую'!B205</f>
        <v>Устройство печи</v>
      </c>
      <c r="C192" s="284" t="str">
        <f>'Смета в налоговую'!C205</f>
        <v>Печь предоставляет Заказчик</v>
      </c>
      <c r="D192" s="284">
        <f>'Смета в налоговую'!D205</f>
        <v>0</v>
      </c>
      <c r="E192" s="284" t="str">
        <f>'Смета в налоговую'!E205</f>
        <v>компл.</v>
      </c>
      <c r="F192" s="284">
        <f>'Смета в налоговую'!F205</f>
        <v>0</v>
      </c>
      <c r="G192" s="284">
        <f>'Смета в налоговую'!G205</f>
        <v>0</v>
      </c>
      <c r="H192" s="318">
        <f>'Смета в налоговую'!H205</f>
        <v>0</v>
      </c>
    </row>
    <row r="193" spans="1:10" hidden="1" thickBot="1" x14ac:dyDescent="0.35">
      <c r="A193" s="310"/>
      <c r="B193" s="319" t="str">
        <f>'Смета в налоговую'!B206</f>
        <v xml:space="preserve">Отвод воды за пределы бани </v>
      </c>
      <c r="C193" s="319"/>
      <c r="D193" s="319">
        <f>'Смета в налоговую'!D206</f>
        <v>0</v>
      </c>
      <c r="E193" s="319" t="str">
        <f>'Смета в налоговую'!E206</f>
        <v>компл.</v>
      </c>
      <c r="F193" s="319">
        <f>'Смета в налоговую'!F206</f>
        <v>2600</v>
      </c>
      <c r="G193" s="319">
        <f>'Смета в налоговую'!G206</f>
        <v>1144</v>
      </c>
      <c r="H193" s="320">
        <f>'Смета в налоговую'!H206</f>
        <v>0</v>
      </c>
    </row>
    <row r="194" spans="1:10" s="65" customFormat="1" ht="15.75" thickBot="1" x14ac:dyDescent="0.3">
      <c r="A194" s="353">
        <f>A183+1</f>
        <v>14</v>
      </c>
      <c r="B194" s="612" t="s">
        <v>828</v>
      </c>
      <c r="C194" s="613"/>
      <c r="D194" s="628"/>
      <c r="E194" s="628"/>
      <c r="F194" s="628"/>
      <c r="G194" s="628"/>
      <c r="H194" s="629"/>
      <c r="J194" s="298"/>
    </row>
    <row r="195" spans="1:10" hidden="1" thickBot="1" x14ac:dyDescent="0.35">
      <c r="A195" s="309"/>
      <c r="B195" s="324"/>
      <c r="C195" s="324">
        <f>'Смета в налоговую'!C208</f>
        <v>0</v>
      </c>
      <c r="D195" s="324">
        <f>'Смета в налоговую'!D208</f>
        <v>0</v>
      </c>
      <c r="E195" s="324" t="str">
        <f>'Смета в налоговую'!E208</f>
        <v>компл.</v>
      </c>
      <c r="F195" s="324">
        <f>'Смета в налоговую'!F208</f>
        <v>0</v>
      </c>
      <c r="G195" s="324">
        <f>'Смета в налоговую'!G208</f>
        <v>0</v>
      </c>
      <c r="H195" s="325">
        <f>'Смета в налоговую'!H208</f>
        <v>0</v>
      </c>
    </row>
    <row r="196" spans="1:10" s="65" customFormat="1" ht="15.75" thickBot="1" x14ac:dyDescent="0.3">
      <c r="A196" s="353">
        <f>A194+1</f>
        <v>15</v>
      </c>
      <c r="B196" s="615" t="s">
        <v>896</v>
      </c>
      <c r="C196" s="615"/>
      <c r="D196" s="626"/>
      <c r="E196" s="626"/>
      <c r="F196" s="626"/>
      <c r="G196" s="626"/>
      <c r="H196" s="627"/>
      <c r="J196" s="298"/>
    </row>
    <row r="197" spans="1:10" ht="14.45" hidden="1" x14ac:dyDescent="0.3">
      <c r="A197" s="292"/>
      <c r="B197" s="271">
        <f>'Смета в налоговую'!B210</f>
        <v>0</v>
      </c>
      <c r="C197" s="271" t="str">
        <f>'Смета в налоговую'!C210</f>
        <v>25*100*6 2-й сорт</v>
      </c>
      <c r="D197" s="271">
        <f>'Смета в налоговую'!D210</f>
        <v>0</v>
      </c>
      <c r="E197" s="271" t="str">
        <f>'Смета в налоговую'!E210</f>
        <v>шт</v>
      </c>
      <c r="F197" s="271">
        <f>'Смета в налоговую'!F210</f>
        <v>0</v>
      </c>
      <c r="G197" s="271">
        <f>'Смета в налоговую'!G210</f>
        <v>0</v>
      </c>
      <c r="H197" s="313">
        <f>'Смета в налоговую'!H210</f>
        <v>0</v>
      </c>
    </row>
    <row r="198" spans="1:10" ht="14.45" hidden="1" x14ac:dyDescent="0.3">
      <c r="A198" s="308"/>
      <c r="B198" s="270">
        <f>'Смета в налоговую'!B211</f>
        <v>0</v>
      </c>
      <c r="C198" s="270" t="str">
        <f>'Смета в налоговую'!C211</f>
        <v>50*100*6 2-й сорт</v>
      </c>
      <c r="D198" s="270">
        <f>'Смета в налоговую'!D211</f>
        <v>0</v>
      </c>
      <c r="E198" s="270" t="str">
        <f>'Смета в налоговую'!E211</f>
        <v>шт</v>
      </c>
      <c r="F198" s="270">
        <f>'Смета в налоговую'!F211</f>
        <v>0</v>
      </c>
      <c r="G198" s="270">
        <f>'Смета в налоговую'!G211</f>
        <v>0</v>
      </c>
      <c r="H198" s="314">
        <f>'Смета в налоговую'!H211</f>
        <v>0</v>
      </c>
    </row>
    <row r="199" spans="1:10" ht="14.45" hidden="1" x14ac:dyDescent="0.3">
      <c r="A199" s="308"/>
      <c r="B199" s="270">
        <f>'Смета в налоговую'!B212</f>
        <v>0</v>
      </c>
      <c r="C199" s="270" t="str">
        <f>'Смета в налоговую'!C212</f>
        <v>50*150*6 2-й сорт</v>
      </c>
      <c r="D199" s="270">
        <f>'Смета в налоговую'!D212</f>
        <v>0</v>
      </c>
      <c r="E199" s="270" t="str">
        <f>'Смета в налоговую'!E212</f>
        <v>шт</v>
      </c>
      <c r="F199" s="270">
        <f>'Смета в налоговую'!F212</f>
        <v>0</v>
      </c>
      <c r="G199" s="270">
        <f>'Смета в налоговую'!G212</f>
        <v>0</v>
      </c>
      <c r="H199" s="314">
        <f>'Смета в налоговую'!H212</f>
        <v>0</v>
      </c>
    </row>
    <row r="200" spans="1:10" ht="14.45" hidden="1" x14ac:dyDescent="0.3">
      <c r="A200" s="308"/>
      <c r="B200" s="270">
        <f>'Смета в налоговую'!B213</f>
        <v>0</v>
      </c>
      <c r="C200" s="270">
        <f>'Смета в налоговую'!C213</f>
        <v>0</v>
      </c>
      <c r="D200" s="270">
        <f>'Смета в налоговую'!D213</f>
        <v>0</v>
      </c>
      <c r="E200" s="270">
        <f>'Смета в налоговую'!E213</f>
        <v>0</v>
      </c>
      <c r="F200" s="270">
        <f>'Смета в налоговую'!F213</f>
        <v>0</v>
      </c>
      <c r="G200" s="270">
        <f>'Смета в налоговую'!G213</f>
        <v>0</v>
      </c>
      <c r="H200" s="314">
        <f>'Смета в налоговую'!H213</f>
        <v>0</v>
      </c>
    </row>
    <row r="201" spans="1:10" ht="14.45" hidden="1" x14ac:dyDescent="0.3">
      <c r="A201" s="308"/>
      <c r="B201" s="270">
        <f>'Смета в налоговую'!B214</f>
        <v>0</v>
      </c>
      <c r="C201" s="270">
        <f>'Смета в налоговую'!C214</f>
        <v>0</v>
      </c>
      <c r="D201" s="270">
        <f>'Смета в налоговую'!D214</f>
        <v>0</v>
      </c>
      <c r="E201" s="270">
        <f>'Смета в налоговую'!E214</f>
        <v>0</v>
      </c>
      <c r="F201" s="270">
        <f>'Смета в налоговую'!F214</f>
        <v>0</v>
      </c>
      <c r="G201" s="270">
        <f>'Смета в налоговую'!G214</f>
        <v>0</v>
      </c>
      <c r="H201" s="314">
        <f>'Смета в налоговую'!H214</f>
        <v>0</v>
      </c>
    </row>
    <row r="202" spans="1:10" ht="14.45" hidden="1" x14ac:dyDescent="0.3">
      <c r="A202" s="308"/>
      <c r="B202" s="270">
        <f>'Смета в налоговую'!B215</f>
        <v>0</v>
      </c>
      <c r="C202" s="270">
        <f>'Смета в налоговую'!C215</f>
        <v>0</v>
      </c>
      <c r="D202" s="270">
        <f>'Смета в налоговую'!D215</f>
        <v>0</v>
      </c>
      <c r="E202" s="270">
        <f>'Смета в налоговую'!E215</f>
        <v>0</v>
      </c>
      <c r="F202" s="270">
        <f>'Смета в налоговую'!F215</f>
        <v>0</v>
      </c>
      <c r="G202" s="270">
        <f>'Смета в налоговую'!G215</f>
        <v>0</v>
      </c>
      <c r="H202" s="314">
        <f>'Смета в налоговую'!H215</f>
        <v>0</v>
      </c>
    </row>
    <row r="203" spans="1:10" ht="14.45" hidden="1" x14ac:dyDescent="0.3">
      <c r="A203" s="308"/>
      <c r="B203" s="270">
        <f>'Смета в налоговую'!B216</f>
        <v>0</v>
      </c>
      <c r="C203" s="270">
        <f>'Смета в налоговую'!C216</f>
        <v>0</v>
      </c>
      <c r="D203" s="270">
        <f>'Смета в налоговую'!D216</f>
        <v>0</v>
      </c>
      <c r="E203" s="270">
        <f>'Смета в налоговую'!E216</f>
        <v>0</v>
      </c>
      <c r="F203" s="270">
        <f>'Смета в налоговую'!F216</f>
        <v>0</v>
      </c>
      <c r="G203" s="270">
        <f>'Смета в налоговую'!G216</f>
        <v>0</v>
      </c>
      <c r="H203" s="314">
        <f>'Смета в налоговую'!H216</f>
        <v>0</v>
      </c>
    </row>
    <row r="204" spans="1:10" ht="14.45" hidden="1" x14ac:dyDescent="0.3">
      <c r="A204" s="308"/>
      <c r="B204" s="270">
        <f>'Смета в налоговую'!B217</f>
        <v>0</v>
      </c>
      <c r="C204" s="270">
        <f>'Смета в налоговую'!C217</f>
        <v>0</v>
      </c>
      <c r="D204" s="270">
        <f>'Смета в налоговую'!D217</f>
        <v>0</v>
      </c>
      <c r="E204" s="270">
        <f>'Смета в налоговую'!E217</f>
        <v>0</v>
      </c>
      <c r="F204" s="270">
        <f>'Смета в налоговую'!F217</f>
        <v>0</v>
      </c>
      <c r="G204" s="270">
        <f>'Смета в налоговую'!G217</f>
        <v>0</v>
      </c>
      <c r="H204" s="314">
        <f>'Смета в налоговую'!H217</f>
        <v>0</v>
      </c>
    </row>
    <row r="205" spans="1:10" hidden="1" thickBot="1" x14ac:dyDescent="0.35">
      <c r="A205" s="310"/>
      <c r="B205" s="273">
        <f>'Смета в налоговую'!B218</f>
        <v>0</v>
      </c>
      <c r="C205" s="273">
        <f>'Смета в налоговую'!C218</f>
        <v>0</v>
      </c>
      <c r="D205" s="273">
        <f>'Смета в налоговую'!D218</f>
        <v>0</v>
      </c>
      <c r="E205" s="273">
        <f>'Смета в налоговую'!E218</f>
        <v>0</v>
      </c>
      <c r="F205" s="273">
        <f>'Смета в налоговую'!F218</f>
        <v>0</v>
      </c>
      <c r="G205" s="273">
        <f>'Смета в налоговую'!G218</f>
        <v>0</v>
      </c>
      <c r="H205" s="315">
        <f>'Смета в налоговую'!H218</f>
        <v>0</v>
      </c>
    </row>
    <row r="206" spans="1:10" s="65" customFormat="1" ht="15.75" thickBot="1" x14ac:dyDescent="0.3">
      <c r="A206" s="353">
        <f>A196+1</f>
        <v>16</v>
      </c>
      <c r="B206" s="615" t="s">
        <v>824</v>
      </c>
      <c r="C206" s="615"/>
      <c r="D206" s="626"/>
      <c r="E206" s="626"/>
      <c r="F206" s="626"/>
      <c r="G206" s="626"/>
      <c r="H206" s="627"/>
      <c r="J206" s="298"/>
    </row>
    <row r="207" spans="1:10" x14ac:dyDescent="0.25">
      <c r="A207" s="356"/>
      <c r="B207" s="326" t="str">
        <f>'Смета в налоговую'!B220</f>
        <v>Разработка эскизного проекта</v>
      </c>
      <c r="C207" s="326"/>
      <c r="D207" s="344">
        <f>'Смета в налоговую'!D220</f>
        <v>1</v>
      </c>
      <c r="E207" s="344" t="str">
        <f>'Смета в налоговую'!E220</f>
        <v>компл.</v>
      </c>
      <c r="F207" s="344">
        <f>'Смета в налоговую'!F220</f>
        <v>0</v>
      </c>
      <c r="G207" s="344">
        <f>'Смета в налоговую'!G220</f>
        <v>50000</v>
      </c>
      <c r="H207" s="348">
        <f>'Смета в налоговую'!H220</f>
        <v>50000</v>
      </c>
    </row>
    <row r="208" spans="1:10" ht="30" x14ac:dyDescent="0.25">
      <c r="A208" s="357"/>
      <c r="B208" s="293" t="str">
        <f>'Смета в налоговую'!B221</f>
        <v>Разгрузка и погрузка материала, такелажные работы</v>
      </c>
      <c r="C208" s="293"/>
      <c r="D208" s="345">
        <f>'Смета в налоговую'!D221</f>
        <v>1</v>
      </c>
      <c r="E208" s="345" t="str">
        <f>'Смета в налоговую'!E221</f>
        <v>компл.</v>
      </c>
      <c r="F208" s="345">
        <f>'Смета в налоговую'!F221</f>
        <v>0</v>
      </c>
      <c r="G208" s="345">
        <f>'Смета в налоговую'!G221</f>
        <v>17000</v>
      </c>
      <c r="H208" s="349">
        <f>'Смета в налоговую'!H221</f>
        <v>17000</v>
      </c>
    </row>
    <row r="209" spans="1:10" x14ac:dyDescent="0.25">
      <c r="A209" s="357"/>
      <c r="B209" s="293" t="str">
        <f>'Смета в налоговую'!B222</f>
        <v>Аренда бытовки</v>
      </c>
      <c r="C209" s="293"/>
      <c r="D209" s="345">
        <f>'Смета в налоговую'!D222</f>
        <v>1</v>
      </c>
      <c r="E209" s="345" t="str">
        <f>'Смета в налоговую'!E222</f>
        <v>компл.</v>
      </c>
      <c r="F209" s="345">
        <f>'Смета в налоговую'!F222</f>
        <v>0</v>
      </c>
      <c r="G209" s="345">
        <f>'Смета в налоговую'!G222</f>
        <v>15000</v>
      </c>
      <c r="H209" s="349">
        <f>'Смета в налоговую'!H222</f>
        <v>15000</v>
      </c>
    </row>
    <row r="210" spans="1:10" ht="15.75" thickBot="1" x14ac:dyDescent="0.3">
      <c r="A210" s="358"/>
      <c r="B210" s="327" t="str">
        <f>'Смета в налоговую'!B223</f>
        <v>Устройство лесов</v>
      </c>
      <c r="C210" s="327"/>
      <c r="D210" s="346">
        <f>'Смета в налоговую'!D223</f>
        <v>1</v>
      </c>
      <c r="E210" s="346" t="str">
        <f>'Смета в налоговую'!E223</f>
        <v>компл.</v>
      </c>
      <c r="F210" s="346">
        <f>'Смета в налоговую'!F223</f>
        <v>0</v>
      </c>
      <c r="G210" s="346">
        <f>'Смета в налоговую'!G223</f>
        <v>15000</v>
      </c>
      <c r="H210" s="350">
        <f>'Смета в налоговую'!H223</f>
        <v>15000</v>
      </c>
    </row>
    <row r="211" spans="1:10" s="65" customFormat="1" ht="15.75" thickBot="1" x14ac:dyDescent="0.3">
      <c r="A211" s="359">
        <f>A206+1</f>
        <v>17</v>
      </c>
      <c r="B211" s="610" t="s">
        <v>6</v>
      </c>
      <c r="C211" s="610"/>
      <c r="D211" s="624"/>
      <c r="E211" s="624"/>
      <c r="F211" s="624"/>
      <c r="G211" s="624"/>
      <c r="H211" s="625"/>
      <c r="J211" s="298"/>
    </row>
    <row r="212" spans="1:10" ht="15.75" thickBot="1" x14ac:dyDescent="0.3">
      <c r="A212" s="355"/>
      <c r="B212" s="351" t="str">
        <f>'Смета в налоговую'!B225</f>
        <v>Доставка</v>
      </c>
      <c r="C212" s="324"/>
      <c r="D212" s="343">
        <f>'Смета в налоговую'!D225</f>
        <v>1</v>
      </c>
      <c r="E212" s="343" t="str">
        <f>'Смета в налоговую'!E225</f>
        <v>компл.</v>
      </c>
      <c r="F212" s="343">
        <f>'Смета в налоговую'!F225</f>
        <v>0</v>
      </c>
      <c r="G212" s="343">
        <f>'Смета в налоговую'!G225</f>
        <v>39000</v>
      </c>
      <c r="H212" s="347">
        <f>'Смета в налоговую'!H225</f>
        <v>39000</v>
      </c>
    </row>
    <row r="213" spans="1:10" ht="15.75" thickBot="1" x14ac:dyDescent="0.3">
      <c r="A213" s="311"/>
      <c r="B213" s="302" t="str">
        <f>'Смета в налоговую'!B226</f>
        <v>Итого по смете:</v>
      </c>
      <c r="C213" s="96"/>
      <c r="D213" s="244"/>
      <c r="E213" s="244"/>
      <c r="F213" s="244"/>
      <c r="G213" s="244"/>
      <c r="H213" s="303">
        <f>'Смета в налоговую'!H226</f>
        <v>722264.01399999997</v>
      </c>
    </row>
    <row r="215" spans="1:10" x14ac:dyDescent="0.25">
      <c r="B215" s="192"/>
    </row>
    <row r="217" spans="1:10" x14ac:dyDescent="0.25">
      <c r="B217" s="192"/>
      <c r="C217" s="96"/>
      <c r="D217" s="244"/>
    </row>
    <row r="218" spans="1:10" x14ac:dyDescent="0.25">
      <c r="B218" s="192"/>
      <c r="C218" s="96"/>
      <c r="D218" s="244"/>
    </row>
    <row r="219" spans="1:10" x14ac:dyDescent="0.25">
      <c r="B219" s="192"/>
      <c r="C219" s="96"/>
      <c r="D219" s="244"/>
    </row>
    <row r="220" spans="1:10" x14ac:dyDescent="0.25">
      <c r="B220" s="192"/>
      <c r="C220" s="96"/>
      <c r="D220" s="244"/>
    </row>
    <row r="221" spans="1:10" x14ac:dyDescent="0.25">
      <c r="B221" s="192"/>
      <c r="C221" s="96"/>
      <c r="D221" s="244"/>
    </row>
    <row r="222" spans="1:10" x14ac:dyDescent="0.25">
      <c r="B222" s="192"/>
      <c r="C222" s="96"/>
      <c r="D222" s="244"/>
    </row>
  </sheetData>
  <autoFilter ref="A3:H213" xr:uid="{00000000-0009-0000-0000-000006000000}">
    <filterColumn colId="3">
      <filters>
        <filter val="1"/>
      </filters>
    </filterColumn>
  </autoFilter>
  <mergeCells count="18">
    <mergeCell ref="B89:H89"/>
    <mergeCell ref="A1:H1"/>
    <mergeCell ref="B4:H4"/>
    <mergeCell ref="B10:H10"/>
    <mergeCell ref="B66:H66"/>
    <mergeCell ref="B80:H80"/>
    <mergeCell ref="B211:H211"/>
    <mergeCell ref="B94:H94"/>
    <mergeCell ref="B125:H125"/>
    <mergeCell ref="B157:H157"/>
    <mergeCell ref="B159:H159"/>
    <mergeCell ref="B177:H177"/>
    <mergeCell ref="B179:H179"/>
    <mergeCell ref="B181:H181"/>
    <mergeCell ref="B183:H183"/>
    <mergeCell ref="B194:H194"/>
    <mergeCell ref="B196:H196"/>
    <mergeCell ref="B206:H20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Прайс</vt:lpstr>
      <vt:lpstr>Просчет</vt:lpstr>
      <vt:lpstr>Накладная</vt:lpstr>
      <vt:lpstr>Мини-смета для клиента</vt:lpstr>
      <vt:lpstr>Маленькая смета для клиента</vt:lpstr>
      <vt:lpstr>Смета в налоговую</vt:lpstr>
      <vt:lpstr>Смета для клиента</vt:lpstr>
      <vt:lpstr>В11</vt:lpstr>
      <vt:lpstr>В22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Пользователь</cp:lastModifiedBy>
  <cp:lastPrinted>2020-12-11T20:04:50Z</cp:lastPrinted>
  <dcterms:created xsi:type="dcterms:W3CDTF">2015-01-19T17:44:15Z</dcterms:created>
  <dcterms:modified xsi:type="dcterms:W3CDTF">2023-05-02T11:14:53Z</dcterms:modified>
</cp:coreProperties>
</file>